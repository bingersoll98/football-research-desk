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ets" sheetId="2" state="visible" r:id="rId2"/>
    <sheet xmlns:r="http://schemas.openxmlformats.org/officeDocument/2006/relationships" name="Futures" sheetId="3" state="visible" r:id="rId3"/>
    <sheet xmlns:r="http://schemas.openxmlformats.org/officeDocument/2006/relationships" name="Settings" sheetId="4" state="visible" r:id="rId4"/>
    <sheet xmlns:r="http://schemas.openxmlformats.org/officeDocument/2006/relationships" name="Notes" sheetId="5" state="visible" r:id="rId5"/>
    <sheet xmlns:r="http://schemas.openxmlformats.org/officeDocument/2006/relationships" name="Flyer" sheetId="6" state="visible" r:id="rId6"/>
  </sheets>
  <definedNames>
    <definedName name="_xlnm._FilterDatabase" localSheetId="0" hidden="1">'Dashboard'!$A$19:$H$38</definedName>
    <definedName name="_xlnm.Print_Titles" localSheetId="0">'Dashboard'!$1:$3</definedName>
    <definedName name="_xlnm.Print_Area" localSheetId="0">'Dashboard'!$A$1:$L$54</definedName>
    <definedName name="_xlnm._FilterDatabase" localSheetId="1" hidden="1">'Bets'!$A$7:$O$507</definedName>
    <definedName name="_xlnm.Print_Titles" localSheetId="1">'Bets'!$1:$7</definedName>
    <definedName name="_xlnm.Print_Area" localSheetId="1">'Bets'!$A$1:$O$50</definedName>
    <definedName name="_xlnm._FilterDatabase" localSheetId="2" hidden="1">'Futures'!$A$4:$L$54</definedName>
    <definedName name="_xlnm.Print_Area" localSheetId="2">'Futures'!$A$1:$L$54</definedName>
    <definedName name="_xlnm.Print_Area" localSheetId="3">'Settings'!$A$1:$D$22</definedName>
    <definedName name="_xlnm.Print_Area" localSheetId="4">'Notes'!$A$1:$F$80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\+0.00;\-0.00;\—"/>
    <numFmt numFmtId="166" formatCode="\$#,##0.00;&quot;($&quot;#,##0.00\);\—"/>
    <numFmt numFmtId="167" formatCode="\+0;\-0;0"/>
    <numFmt numFmtId="168" formatCode="\$#,##0.00"/>
  </numFmts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color rgb="FF1B2838"/>
      <sz val="16"/>
    </font>
    <font>
      <name val="Arial"/>
      <charset val="1"/>
      <family val="0"/>
      <b val="1"/>
      <color rgb="FF1F7A4D"/>
      <sz val="16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333333"/>
      <sz val="10"/>
    </font>
    <font>
      <name val="Arial"/>
      <charset val="1"/>
      <family val="0"/>
      <color rgb="FF222222"/>
      <sz val="10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333333"/>
      <sz val="10"/>
    </font>
    <font>
      <name val="Arial"/>
      <charset val="1"/>
      <family val="0"/>
      <color rgb="FF555555"/>
      <sz val="9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1B2838"/>
      <sz val="10"/>
    </font>
    <font>
      <name val="Arial"/>
      <charset val="1"/>
      <family val="0"/>
      <b val="1"/>
      <color rgb="FF0000FF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sz val="10"/>
    </font>
    <font>
      <name val="Arial"/>
      <charset val="1"/>
      <family val="0"/>
      <b val="1"/>
      <color rgb="FFF6F1E6"/>
      <sz val="14"/>
    </font>
    <font>
      <name val="Arial"/>
      <charset val="1"/>
      <family val="0"/>
      <color rgb="FF5C6570"/>
      <sz val="10"/>
    </font>
    <font>
      <name val="Arial"/>
      <charset val="1"/>
      <family val="0"/>
      <b val="1"/>
      <sz val="10"/>
    </font>
  </fonts>
  <fills count="11">
    <fill>
      <patternFill/>
    </fill>
    <fill>
      <patternFill patternType="gray125"/>
    </fill>
    <fill>
      <patternFill patternType="solid">
        <fgColor rgb="FF1B2838"/>
        <bgColor rgb="FF122033"/>
      </patternFill>
    </fill>
    <fill>
      <patternFill patternType="solid">
        <fgColor rgb="FFF4F1EA"/>
        <bgColor rgb="FFF6F1E6"/>
      </patternFill>
    </fill>
    <fill>
      <patternFill patternType="solid">
        <fgColor rgb="FF1F7A4D"/>
        <bgColor rgb="FF008080"/>
      </patternFill>
    </fill>
    <fill>
      <patternFill patternType="solid">
        <fgColor rgb="FFC9A227"/>
        <bgColor rgb="FF99CC00"/>
      </patternFill>
    </fill>
    <fill>
      <patternFill patternType="solid">
        <fgColor rgb="FF2E3D4F"/>
        <bgColor rgb="FF333333"/>
      </patternFill>
    </fill>
    <fill>
      <patternFill patternType="solid">
        <fgColor rgb="FFE8E4D9"/>
        <bgColor rgb="FFDDEBF7"/>
      </patternFill>
    </fill>
    <fill>
      <patternFill patternType="solid">
        <fgColor rgb="FFFFF2CC"/>
        <bgColor rgb="FFF6F1E6"/>
      </patternFill>
    </fill>
    <fill>
      <patternFill patternType="solid">
        <fgColor rgb="FF122033"/>
        <bgColor rgb="FF1B2838"/>
      </patternFill>
    </fill>
    <fill>
      <patternFill patternType="solid">
        <fgColor rgb="FFF6F1E6"/>
        <bgColor rgb="FFF4F1EA"/>
      </patternFill>
    </fill>
  </fills>
  <borders count="6">
    <border>
      <left/>
      <right/>
      <top/>
      <bottom/>
      <diagonal/>
    </border>
    <border>
      <left style="thin">
        <color rgb="FFC5C0B0"/>
      </left>
      <right style="thin">
        <color rgb="FFC5C0B0"/>
      </right>
      <top style="thin">
        <color rgb="FFC5C0B0"/>
      </top>
      <bottom style="thin">
        <color rgb="FFC5C0B0"/>
      </bottom>
      <diagonal/>
    </border>
    <border>
      <left/>
      <right/>
      <top style="thin">
        <color rgb="FFC5C0B0"/>
      </top>
      <bottom/>
      <diagonal/>
    </border>
    <border>
      <left/>
      <right style="thin">
        <color rgb="FFC5C0B0"/>
      </right>
      <top style="thin">
        <color rgb="FFC5C0B0"/>
      </top>
      <bottom/>
      <diagonal/>
    </border>
    <border>
      <left/>
      <right/>
      <top style="thin">
        <color rgb="FFC5C0B0"/>
      </top>
      <bottom style="thin">
        <color rgb="FFC5C0B0"/>
      </bottom>
      <diagonal/>
    </border>
    <border>
      <left/>
      <right style="thin">
        <color rgb="FFC5C0B0"/>
      </right>
      <top style="thin">
        <color rgb="FFC5C0B0"/>
      </top>
      <bottom style="thin">
        <color rgb="FFC5C0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6" fillId="2" borderId="1" applyAlignment="1" pivotButton="0" quotePrefix="0" xfId="0">
      <alignment horizontal="center" vertical="bottom"/>
    </xf>
    <xf numFmtId="164" fontId="8" fillId="3" borderId="1" applyAlignment="1" pivotButton="0" quotePrefix="0" xfId="0">
      <alignment horizontal="center" vertical="bottom"/>
    </xf>
    <xf numFmtId="165" fontId="7" fillId="3" borderId="1" applyAlignment="1" pivotButton="0" quotePrefix="0" xfId="0">
      <alignment horizontal="center" vertical="bottom"/>
    </xf>
    <xf numFmtId="166" fontId="7" fillId="3" borderId="1" applyAlignment="1" pivotButton="0" quotePrefix="0" xfId="0">
      <alignment horizontal="center" vertical="bottom"/>
    </xf>
    <xf numFmtId="2" fontId="7" fillId="3" borderId="1" applyAlignment="1" pivotButton="0" quotePrefix="0" xfId="0">
      <alignment horizontal="center" vertical="bottom"/>
    </xf>
    <xf numFmtId="0" fontId="9" fillId="2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general" vertical="bottom"/>
    </xf>
    <xf numFmtId="0" fontId="9" fillId="6" borderId="1" applyAlignment="1" pivotButton="0" quotePrefix="0" xfId="0">
      <alignment horizontal="center" vertical="bottom"/>
    </xf>
    <xf numFmtId="0" fontId="11" fillId="0" borderId="1" applyAlignment="1" pivotButton="0" quotePrefix="0" xfId="0">
      <alignment horizontal="center" vertical="bottom"/>
    </xf>
    <xf numFmtId="0" fontId="12" fillId="0" borderId="1" applyAlignment="1" pivotButton="0" quotePrefix="0" xfId="0">
      <alignment horizontal="center" vertical="bottom"/>
    </xf>
    <xf numFmtId="164" fontId="12" fillId="0" borderId="1" applyAlignment="1" pivotButton="0" quotePrefix="0" xfId="0">
      <alignment horizontal="center" vertical="bottom"/>
    </xf>
    <xf numFmtId="165" fontId="12" fillId="0" borderId="1" applyAlignment="1" pivotButton="0" quotePrefix="0" xfId="0">
      <alignment horizontal="center" vertical="bottom"/>
    </xf>
    <xf numFmtId="166" fontId="12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center" vertical="bottom"/>
    </xf>
    <xf numFmtId="0" fontId="12" fillId="3" borderId="1" applyAlignment="1" pivotButton="0" quotePrefix="0" xfId="0">
      <alignment horizontal="center" vertical="bottom"/>
    </xf>
    <xf numFmtId="164" fontId="12" fillId="3" borderId="1" applyAlignment="1" pivotButton="0" quotePrefix="0" xfId="0">
      <alignment horizontal="center" vertical="bottom"/>
    </xf>
    <xf numFmtId="165" fontId="12" fillId="3" borderId="1" applyAlignment="1" pivotButton="0" quotePrefix="0" xfId="0">
      <alignment horizontal="center" vertical="bottom"/>
    </xf>
    <xf numFmtId="166" fontId="12" fillId="3" borderId="1" applyAlignment="1" pivotButton="0" quotePrefix="0" xfId="0">
      <alignment horizontal="center" vertical="bottom"/>
    </xf>
    <xf numFmtId="0" fontId="9" fillId="2" borderId="1" applyAlignment="1" pivotButton="0" quotePrefix="0" xfId="0">
      <alignment horizontal="center" vertical="bottom"/>
    </xf>
    <xf numFmtId="164" fontId="9" fillId="2" borderId="1" applyAlignment="1" pivotButton="0" quotePrefix="0" xfId="0">
      <alignment horizontal="center" vertical="bottom"/>
    </xf>
    <xf numFmtId="165" fontId="9" fillId="2" borderId="1" applyAlignment="1" pivotButton="0" quotePrefix="0" xfId="0">
      <alignment horizontal="center" vertical="bottom"/>
    </xf>
    <xf numFmtId="166" fontId="9" fillId="2" borderId="1" applyAlignment="1" pivotButton="0" quotePrefix="0" xfId="0">
      <alignment horizontal="center" vertical="bottom"/>
    </xf>
    <xf numFmtId="0" fontId="11" fillId="0" borderId="1" applyAlignment="1" pivotButton="0" quotePrefix="0" xfId="0">
      <alignment horizontal="left" vertical="bottom"/>
    </xf>
    <xf numFmtId="0" fontId="11" fillId="3" borderId="1" applyAlignment="1" pivotButton="0" quotePrefix="0" xfId="0">
      <alignment horizontal="left" vertical="bottom"/>
    </xf>
    <xf numFmtId="0" fontId="9" fillId="5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167" fontId="15" fillId="0" borderId="1" applyAlignment="1" pivotButton="0" quotePrefix="0" xfId="0">
      <alignment horizontal="center" vertical="center" wrapText="1"/>
    </xf>
    <xf numFmtId="168" fontId="15" fillId="0" borderId="1" applyAlignment="1" pivotButton="0" quotePrefix="0" xfId="0">
      <alignment horizontal="center" vertical="center" wrapText="1"/>
    </xf>
    <xf numFmtId="2" fontId="15" fillId="0" borderId="1" applyAlignment="1" pivotButton="0" quotePrefix="0" xfId="0">
      <alignment horizontal="center" vertical="center" wrapText="1"/>
    </xf>
    <xf numFmtId="166" fontId="12" fillId="0" borderId="1" applyAlignment="1" pivotButton="0" quotePrefix="0" xfId="0">
      <alignment horizontal="center" vertical="center" wrapText="1"/>
    </xf>
    <xf numFmtId="165" fontId="12" fillId="0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167" fontId="15" fillId="3" borderId="1" applyAlignment="1" pivotButton="0" quotePrefix="0" xfId="0">
      <alignment horizontal="center" vertical="center" wrapText="1"/>
    </xf>
    <xf numFmtId="168" fontId="15" fillId="3" borderId="1" applyAlignment="1" pivotButton="0" quotePrefix="0" xfId="0">
      <alignment horizontal="center" vertical="center" wrapText="1"/>
    </xf>
    <xf numFmtId="2" fontId="15" fillId="3" borderId="1" applyAlignment="1" pivotButton="0" quotePrefix="0" xfId="0">
      <alignment horizontal="center" vertical="center" wrapText="1"/>
    </xf>
    <xf numFmtId="166" fontId="12" fillId="3" borderId="1" applyAlignment="1" pivotButton="0" quotePrefix="0" xfId="0">
      <alignment horizontal="center" vertical="center" wrapText="1"/>
    </xf>
    <xf numFmtId="165" fontId="12" fillId="3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167" fontId="15" fillId="7" borderId="1" applyAlignment="1" pivotButton="0" quotePrefix="0" xfId="0">
      <alignment horizontal="center" vertical="center" wrapText="1"/>
    </xf>
    <xf numFmtId="168" fontId="15" fillId="7" borderId="1" applyAlignment="1" pivotButton="0" quotePrefix="0" xfId="0">
      <alignment horizontal="center" vertical="center" wrapText="1"/>
    </xf>
    <xf numFmtId="2" fontId="15" fillId="7" borderId="1" applyAlignment="1" pivotButton="0" quotePrefix="0" xfId="0">
      <alignment horizontal="center" vertical="center" wrapText="1"/>
    </xf>
    <xf numFmtId="166" fontId="15" fillId="3" borderId="1" applyAlignment="1" pivotButton="0" quotePrefix="0" xfId="0">
      <alignment horizontal="center" vertical="center" wrapText="1"/>
    </xf>
    <xf numFmtId="165" fontId="15" fillId="3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bottom" wrapText="1"/>
    </xf>
    <xf numFmtId="0" fontId="12" fillId="0" borderId="1" applyAlignment="1" pivotButton="0" quotePrefix="0" xfId="0">
      <alignment horizontal="center" vertical="bottom" wrapText="1"/>
    </xf>
    <xf numFmtId="0" fontId="15" fillId="0" borderId="1" applyAlignment="1" pivotButton="0" quotePrefix="0" xfId="0">
      <alignment horizontal="center" vertical="bottom" wrapText="1"/>
    </xf>
    <xf numFmtId="167" fontId="15" fillId="0" borderId="1" applyAlignment="1" pivotButton="0" quotePrefix="0" xfId="0">
      <alignment horizontal="center" vertical="bottom" wrapText="1"/>
    </xf>
    <xf numFmtId="168" fontId="15" fillId="0" borderId="1" applyAlignment="1" pivotButton="0" quotePrefix="0" xfId="0">
      <alignment horizontal="center" vertical="bottom" wrapText="1"/>
    </xf>
    <xf numFmtId="166" fontId="12" fillId="0" borderId="1" applyAlignment="1" pivotButton="0" quotePrefix="0" xfId="0">
      <alignment horizontal="center" vertical="bottom" wrapText="1"/>
    </xf>
    <xf numFmtId="165" fontId="12" fillId="0" borderId="1" applyAlignment="1" pivotButton="0" quotePrefix="0" xfId="0">
      <alignment horizontal="center" vertical="bottom" wrapText="1"/>
    </xf>
    <xf numFmtId="0" fontId="12" fillId="3" borderId="1" applyAlignment="1" pivotButton="0" quotePrefix="0" xfId="0">
      <alignment horizontal="center" vertical="bottom" wrapText="1"/>
    </xf>
    <xf numFmtId="0" fontId="15" fillId="3" borderId="1" applyAlignment="1" pivotButton="0" quotePrefix="0" xfId="0">
      <alignment horizontal="center" vertical="bottom" wrapText="1"/>
    </xf>
    <xf numFmtId="167" fontId="15" fillId="3" borderId="1" applyAlignment="1" pivotButton="0" quotePrefix="0" xfId="0">
      <alignment horizontal="center" vertical="bottom" wrapText="1"/>
    </xf>
    <xf numFmtId="168" fontId="15" fillId="3" borderId="1" applyAlignment="1" pivotButton="0" quotePrefix="0" xfId="0">
      <alignment horizontal="center" vertical="bottom" wrapText="1"/>
    </xf>
    <xf numFmtId="166" fontId="12" fillId="3" borderId="1" applyAlignment="1" pivotButton="0" quotePrefix="0" xfId="0">
      <alignment horizontal="center" vertical="bottom" wrapText="1"/>
    </xf>
    <xf numFmtId="165" fontId="12" fillId="3" borderId="1" applyAlignment="1" pivotButton="0" quotePrefix="0" xfId="0">
      <alignment horizontal="center" vertical="bottom" wrapText="1"/>
    </xf>
    <xf numFmtId="0" fontId="16" fillId="0" borderId="0" applyAlignment="1" pivotButton="0" quotePrefix="0" xfId="0">
      <alignment horizontal="general" vertical="bottom"/>
    </xf>
    <xf numFmtId="168" fontId="17" fillId="8" borderId="1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8" fontId="15" fillId="8" borderId="0" applyAlignment="1" pivotButton="0" quotePrefix="0" xfId="0">
      <alignment horizontal="general" vertical="bottom"/>
    </xf>
    <xf numFmtId="0" fontId="15" fillId="8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15" fillId="3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20" fillId="9" borderId="0" applyAlignment="1" pivotButton="0" quotePrefix="0" xfId="0">
      <alignment horizontal="general" vertical="bottom"/>
    </xf>
    <xf numFmtId="0" fontId="21" fillId="10" borderId="0" applyAlignment="1" pivotButton="0" quotePrefix="0" xfId="0">
      <alignment horizontal="general" vertical="bottom"/>
    </xf>
    <xf numFmtId="0" fontId="22" fillId="5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7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6" fillId="2" borderId="1" applyAlignment="1" pivotButton="0" quotePrefix="0" xfId="0">
      <alignment horizontal="center" vertical="bottom"/>
    </xf>
    <xf numFmtId="164" fontId="8" fillId="3" borderId="1" applyAlignment="1" pivotButton="0" quotePrefix="0" xfId="0">
      <alignment horizontal="center" vertical="bottom"/>
    </xf>
    <xf numFmtId="165" fontId="7" fillId="3" borderId="1" applyAlignment="1" pivotButton="0" quotePrefix="0" xfId="0">
      <alignment horizontal="center" vertical="bottom"/>
    </xf>
    <xf numFmtId="166" fontId="7" fillId="3" borderId="1" applyAlignment="1" pivotButton="0" quotePrefix="0" xfId="0">
      <alignment horizontal="center" vertical="bottom"/>
    </xf>
    <xf numFmtId="2" fontId="7" fillId="3" borderId="1" applyAlignment="1" pivotButton="0" quotePrefix="0" xfId="0">
      <alignment horizontal="center" vertical="bottom"/>
    </xf>
    <xf numFmtId="0" fontId="9" fillId="2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general" vertical="bottom"/>
    </xf>
    <xf numFmtId="0" fontId="9" fillId="6" borderId="1" applyAlignment="1" pivotButton="0" quotePrefix="0" xfId="0">
      <alignment horizontal="center" vertical="bottom"/>
    </xf>
    <xf numFmtId="0" fontId="11" fillId="0" borderId="1" applyAlignment="1" pivotButton="0" quotePrefix="0" xfId="0">
      <alignment horizontal="center" vertical="bottom"/>
    </xf>
    <xf numFmtId="0" fontId="12" fillId="0" borderId="1" applyAlignment="1" pivotButton="0" quotePrefix="0" xfId="0">
      <alignment horizontal="center" vertical="bottom"/>
    </xf>
    <xf numFmtId="164" fontId="12" fillId="0" borderId="1" applyAlignment="1" pivotButton="0" quotePrefix="0" xfId="0">
      <alignment horizontal="center" vertical="bottom"/>
    </xf>
    <xf numFmtId="165" fontId="12" fillId="0" borderId="1" applyAlignment="1" pivotButton="0" quotePrefix="0" xfId="0">
      <alignment horizontal="center" vertical="bottom"/>
    </xf>
    <xf numFmtId="166" fontId="12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center" vertical="bottom"/>
    </xf>
    <xf numFmtId="0" fontId="12" fillId="3" borderId="1" applyAlignment="1" pivotButton="0" quotePrefix="0" xfId="0">
      <alignment horizontal="center" vertical="bottom"/>
    </xf>
    <xf numFmtId="164" fontId="12" fillId="3" borderId="1" applyAlignment="1" pivotButton="0" quotePrefix="0" xfId="0">
      <alignment horizontal="center" vertical="bottom"/>
    </xf>
    <xf numFmtId="165" fontId="12" fillId="3" borderId="1" applyAlignment="1" pivotButton="0" quotePrefix="0" xfId="0">
      <alignment horizontal="center" vertical="bottom"/>
    </xf>
    <xf numFmtId="166" fontId="12" fillId="3" borderId="1" applyAlignment="1" pivotButton="0" quotePrefix="0" xfId="0">
      <alignment horizontal="center" vertical="bottom"/>
    </xf>
    <xf numFmtId="0" fontId="9" fillId="2" borderId="1" applyAlignment="1" pivotButton="0" quotePrefix="0" xfId="0">
      <alignment horizontal="center" vertical="bottom"/>
    </xf>
    <xf numFmtId="164" fontId="9" fillId="2" borderId="1" applyAlignment="1" pivotButton="0" quotePrefix="0" xfId="0">
      <alignment horizontal="center" vertical="bottom"/>
    </xf>
    <xf numFmtId="165" fontId="9" fillId="2" borderId="1" applyAlignment="1" pivotButton="0" quotePrefix="0" xfId="0">
      <alignment horizontal="center" vertical="bottom"/>
    </xf>
    <xf numFmtId="166" fontId="9" fillId="2" borderId="1" applyAlignment="1" pivotButton="0" quotePrefix="0" xfId="0">
      <alignment horizontal="center" vertical="bottom"/>
    </xf>
    <xf numFmtId="0" fontId="11" fillId="0" borderId="1" applyAlignment="1" pivotButton="0" quotePrefix="0" xfId="0">
      <alignment horizontal="left" vertical="bottom"/>
    </xf>
    <xf numFmtId="0" fontId="11" fillId="3" borderId="1" applyAlignment="1" pivotButton="0" quotePrefix="0" xfId="0">
      <alignment horizontal="left" vertical="bottom"/>
    </xf>
    <xf numFmtId="0" fontId="9" fillId="5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167" fontId="15" fillId="0" borderId="1" applyAlignment="1" pivotButton="0" quotePrefix="0" xfId="0">
      <alignment horizontal="center" vertical="center" wrapText="1"/>
    </xf>
    <xf numFmtId="168" fontId="15" fillId="0" borderId="1" applyAlignment="1" pivotButton="0" quotePrefix="0" xfId="0">
      <alignment horizontal="center" vertical="center" wrapText="1"/>
    </xf>
    <xf numFmtId="2" fontId="15" fillId="0" borderId="1" applyAlignment="1" pivotButton="0" quotePrefix="0" xfId="0">
      <alignment horizontal="center" vertical="center" wrapText="1"/>
    </xf>
    <xf numFmtId="166" fontId="12" fillId="0" borderId="1" applyAlignment="1" pivotButton="0" quotePrefix="0" xfId="0">
      <alignment horizontal="center" vertical="center" wrapText="1"/>
    </xf>
    <xf numFmtId="165" fontId="12" fillId="0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167" fontId="15" fillId="3" borderId="1" applyAlignment="1" pivotButton="0" quotePrefix="0" xfId="0">
      <alignment horizontal="center" vertical="center" wrapText="1"/>
    </xf>
    <xf numFmtId="168" fontId="15" fillId="3" borderId="1" applyAlignment="1" pivotButton="0" quotePrefix="0" xfId="0">
      <alignment horizontal="center" vertical="center" wrapText="1"/>
    </xf>
    <xf numFmtId="2" fontId="15" fillId="3" borderId="1" applyAlignment="1" pivotButton="0" quotePrefix="0" xfId="0">
      <alignment horizontal="center" vertical="center" wrapText="1"/>
    </xf>
    <xf numFmtId="166" fontId="12" fillId="3" borderId="1" applyAlignment="1" pivotButton="0" quotePrefix="0" xfId="0">
      <alignment horizontal="center" vertical="center" wrapText="1"/>
    </xf>
    <xf numFmtId="165" fontId="12" fillId="3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167" fontId="15" fillId="7" borderId="1" applyAlignment="1" pivotButton="0" quotePrefix="0" xfId="0">
      <alignment horizontal="center" vertical="center" wrapText="1"/>
    </xf>
    <xf numFmtId="168" fontId="15" fillId="7" borderId="1" applyAlignment="1" pivotButton="0" quotePrefix="0" xfId="0">
      <alignment horizontal="center" vertical="center" wrapText="1"/>
    </xf>
    <xf numFmtId="2" fontId="15" fillId="7" borderId="1" applyAlignment="1" pivotButton="0" quotePrefix="0" xfId="0">
      <alignment horizontal="center" vertical="center" wrapText="1"/>
    </xf>
    <xf numFmtId="166" fontId="15" fillId="3" borderId="1" applyAlignment="1" pivotButton="0" quotePrefix="0" xfId="0">
      <alignment horizontal="center" vertical="center" wrapText="1"/>
    </xf>
    <xf numFmtId="165" fontId="15" fillId="3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bottom" wrapText="1"/>
    </xf>
    <xf numFmtId="0" fontId="12" fillId="0" borderId="1" applyAlignment="1" pivotButton="0" quotePrefix="0" xfId="0">
      <alignment horizontal="center" vertical="bottom" wrapText="1"/>
    </xf>
    <xf numFmtId="0" fontId="15" fillId="0" borderId="1" applyAlignment="1" pivotButton="0" quotePrefix="0" xfId="0">
      <alignment horizontal="center" vertical="bottom" wrapText="1"/>
    </xf>
    <xf numFmtId="167" fontId="15" fillId="0" borderId="1" applyAlignment="1" pivotButton="0" quotePrefix="0" xfId="0">
      <alignment horizontal="center" vertical="bottom" wrapText="1"/>
    </xf>
    <xf numFmtId="168" fontId="15" fillId="0" borderId="1" applyAlignment="1" pivotButton="0" quotePrefix="0" xfId="0">
      <alignment horizontal="center" vertical="bottom" wrapText="1"/>
    </xf>
    <xf numFmtId="166" fontId="12" fillId="0" borderId="1" applyAlignment="1" pivotButton="0" quotePrefix="0" xfId="0">
      <alignment horizontal="center" vertical="bottom" wrapText="1"/>
    </xf>
    <xf numFmtId="165" fontId="12" fillId="0" borderId="1" applyAlignment="1" pivotButton="0" quotePrefix="0" xfId="0">
      <alignment horizontal="center" vertical="bottom" wrapText="1"/>
    </xf>
    <xf numFmtId="0" fontId="12" fillId="3" borderId="1" applyAlignment="1" pivotButton="0" quotePrefix="0" xfId="0">
      <alignment horizontal="center" vertical="bottom" wrapText="1"/>
    </xf>
    <xf numFmtId="0" fontId="15" fillId="3" borderId="1" applyAlignment="1" pivotButton="0" quotePrefix="0" xfId="0">
      <alignment horizontal="center" vertical="bottom" wrapText="1"/>
    </xf>
    <xf numFmtId="167" fontId="15" fillId="3" borderId="1" applyAlignment="1" pivotButton="0" quotePrefix="0" xfId="0">
      <alignment horizontal="center" vertical="bottom" wrapText="1"/>
    </xf>
    <xf numFmtId="168" fontId="15" fillId="3" borderId="1" applyAlignment="1" pivotButton="0" quotePrefix="0" xfId="0">
      <alignment horizontal="center" vertical="bottom" wrapText="1"/>
    </xf>
    <xf numFmtId="166" fontId="12" fillId="3" borderId="1" applyAlignment="1" pivotButton="0" quotePrefix="0" xfId="0">
      <alignment horizontal="center" vertical="bottom" wrapText="1"/>
    </xf>
    <xf numFmtId="165" fontId="12" fillId="3" borderId="1" applyAlignment="1" pivotButton="0" quotePrefix="0" xfId="0">
      <alignment horizontal="center" vertical="bottom" wrapText="1"/>
    </xf>
    <xf numFmtId="0" fontId="16" fillId="0" borderId="0" applyAlignment="1" pivotButton="0" quotePrefix="0" xfId="0">
      <alignment horizontal="general" vertical="bottom"/>
    </xf>
    <xf numFmtId="168" fontId="17" fillId="8" borderId="1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8" fontId="15" fillId="8" borderId="0" applyAlignment="1" pivotButton="0" quotePrefix="0" xfId="0">
      <alignment horizontal="general" vertical="bottom"/>
    </xf>
    <xf numFmtId="0" fontId="15" fillId="8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15" fillId="3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20" fillId="9" borderId="0" applyAlignment="1" pivotButton="0" quotePrefix="0" xfId="0">
      <alignment horizontal="general" vertical="bottom"/>
    </xf>
    <xf numFmtId="0" fontId="21" fillId="10" borderId="0" applyAlignment="1" pivotButton="0" quotePrefix="0" xfId="0">
      <alignment horizontal="general" vertical="bottom"/>
    </xf>
    <xf numFmtId="0" fontId="22" fillId="5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0">
    <dxf>
      <fill>
        <patternFill patternType="solid">
          <fgColor rgb="FF1B2838"/>
          <bgColor rgb="FF000000"/>
        </patternFill>
      </fill>
    </dxf>
    <dxf>
      <fill>
        <patternFill patternType="solid">
          <fgColor rgb="FF2E3D4F"/>
          <bgColor rgb="FF000000"/>
        </patternFill>
      </fill>
    </dxf>
    <dxf>
      <fill>
        <patternFill patternType="solid">
          <fgColor rgb="FFF4F1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8E4D9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1F4E79"/>
      </font>
      <fill>
        <patternFill>
          <bgColor rgb="FFDDEBF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2E3D4F"/>
      <rgbColor rgb="FF808000"/>
      <rgbColor rgb="FF800080"/>
      <rgbColor rgb="FF1F7A4D"/>
      <rgbColor rgb="FFC5C0B0"/>
      <rgbColor rgb="FF666666"/>
      <rgbColor rgb="FF9999FF"/>
      <rgbColor rgb="FF555555"/>
      <rgbColor rgb="FFFFF2CC"/>
      <rgbColor rgb="FFDDEBF7"/>
      <rgbColor rgb="FF660066"/>
      <rgbColor rgb="FFFF8080"/>
      <rgbColor rgb="FF0066CC"/>
      <rgbColor rgb="FFE8E4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1EA"/>
      <rgbColor rgb="FFC6EFCE"/>
      <rgbColor rgb="FFFFEB9C"/>
      <rgbColor rgb="FFF6F1E6"/>
      <rgbColor rgb="FFFF99CC"/>
      <rgbColor rgb="FFCC99FF"/>
      <rgbColor rgb="FFFFC7CE"/>
      <rgbColor rgb="FF3366FF"/>
      <rgbColor rgb="FF33CCCC"/>
      <rgbColor rgb="FF99CC00"/>
      <rgbColor rgb="FFFFCC00"/>
      <rgbColor rgb="FFC9A227"/>
      <rgbColor rgb="FFFF6600"/>
      <rgbColor rgb="FF5C6570"/>
      <rgbColor rgb="FF969696"/>
      <rgbColor rgb="FF1B2838"/>
      <rgbColor rgb="FF339966"/>
      <rgbColor rgb="FF122033"/>
      <rgbColor rgb="FF222222"/>
      <rgbColor rgb="FF9C57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L5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90" min="1" max="1"/>
    <col width="10" customWidth="1" style="90" min="2" max="5"/>
    <col width="12" customWidth="1" style="90" min="6" max="7"/>
    <col width="14" customWidth="1" style="90" min="8" max="8"/>
    <col width="12" customWidth="1" style="90" min="9" max="11"/>
    <col width="14" customWidth="1" style="90" min="12" max="12"/>
  </cols>
  <sheetData>
    <row r="1" ht="27.75" customHeight="1" s="91">
      <c r="A1" s="92" t="inlineStr">
        <is>
          <t>FRD TRACKER TEMPLATE  •  YOUR BOOK</t>
        </is>
      </c>
    </row>
    <row r="2" ht="15.75" customHeight="1" s="91">
      <c r="A2" s="93" t="inlineStr">
        <is>
          <t>Blank template for personal use. Not the live Football Research Desk record. Paper 1u default $25.</t>
        </is>
      </c>
    </row>
    <row r="4" ht="15.75" customHeight="1" s="91">
      <c r="A4" s="94" t="inlineStr">
        <is>
          <t>BETS</t>
        </is>
      </c>
      <c r="B4" s="95" t="n"/>
      <c r="C4" s="96" t="n"/>
      <c r="D4" s="94" t="inlineStr">
        <is>
          <t>WINS</t>
        </is>
      </c>
      <c r="E4" s="95" t="n"/>
      <c r="F4" s="96" t="n"/>
      <c r="G4" s="94" t="inlineStr">
        <is>
          <t>LOSSES</t>
        </is>
      </c>
      <c r="H4" s="95" t="n"/>
      <c r="I4" s="96" t="n"/>
      <c r="J4" s="94" t="inlineStr">
        <is>
          <t>PUSHES</t>
        </is>
      </c>
      <c r="K4" s="95" t="n"/>
      <c r="L4" s="96" t="n"/>
    </row>
    <row r="5" ht="25.5" customHeight="1" s="91">
      <c r="A5" s="97">
        <f>COUNTA(Bets!A8:A507)</f>
        <v/>
      </c>
      <c r="B5" s="95" t="n"/>
      <c r="C5" s="96" t="n"/>
      <c r="D5" s="97">
        <f>COUNTIF(Bets!L8:L507,"W")</f>
        <v/>
      </c>
      <c r="E5" s="95" t="n"/>
      <c r="F5" s="96" t="n"/>
      <c r="G5" s="97">
        <f>COUNTIF(Bets!L8:L507,"L")</f>
        <v/>
      </c>
      <c r="H5" s="95" t="n"/>
      <c r="I5" s="96" t="n"/>
      <c r="J5" s="97">
        <f>COUNTIF(Bets!L8:L507,"P")</f>
        <v/>
      </c>
      <c r="K5" s="95" t="n"/>
      <c r="L5" s="96" t="n"/>
    </row>
    <row r="7" ht="15" customHeight="1" s="91">
      <c r="A7" s="98" t="inlineStr">
        <is>
          <t>WIN %</t>
        </is>
      </c>
      <c r="B7" s="95" t="n"/>
      <c r="C7" s="96" t="n"/>
      <c r="D7" s="99" t="inlineStr">
        <is>
          <t>UNITS WON</t>
        </is>
      </c>
      <c r="E7" s="95" t="n"/>
      <c r="F7" s="96" t="n"/>
      <c r="G7" s="98" t="inlineStr">
        <is>
          <t>PROFIT ($)</t>
        </is>
      </c>
      <c r="H7" s="95" t="n"/>
      <c r="I7" s="96" t="n"/>
      <c r="J7" s="100" t="inlineStr">
        <is>
          <t>UNITS RISKED</t>
        </is>
      </c>
      <c r="K7" s="95" t="n"/>
      <c r="L7" s="96" t="n"/>
    </row>
    <row r="8" ht="25.5" customHeight="1" s="91">
      <c r="A8" s="101">
        <f>IF((B5+G5)=0,"—",B5/(B5+G5))</f>
        <v/>
      </c>
      <c r="B8" s="95" t="n"/>
      <c r="C8" s="96" t="n"/>
      <c r="D8" s="102">
        <f>SUM(Bets!N8:N507)</f>
        <v/>
      </c>
      <c r="E8" s="95" t="n"/>
      <c r="F8" s="96" t="n"/>
      <c r="G8" s="103">
        <f>SUM(Bets!O8:O507)</f>
        <v/>
      </c>
      <c r="H8" s="95" t="n"/>
      <c r="I8" s="96" t="n"/>
      <c r="J8" s="104">
        <f>SUMIF(Bets!L8:L507,"&lt;&gt;",Bets!J8:J507)</f>
        <v/>
      </c>
      <c r="K8" s="95" t="n"/>
      <c r="L8" s="96" t="n"/>
    </row>
    <row r="10" ht="15" customHeight="1" s="91">
      <c r="A10" s="105" t="inlineStr">
        <is>
          <t>HOW THIS BOOK WORKS</t>
        </is>
      </c>
    </row>
    <row r="11" ht="18" customHeight="1" s="91">
      <c r="A11" s="106" t="inlineStr">
        <is>
          <t>1. Log only the leans you want to grade. Flyer tab is optional and off the main record.</t>
        </is>
      </c>
    </row>
    <row r="12" ht="18" customHeight="1" s="91">
      <c r="A12" s="107" t="inlineStr">
        <is>
          <t>2. PASS is not a ticket. Do not log a pass.</t>
        </is>
      </c>
    </row>
    <row r="13" ht="18" customHeight="1" s="91">
      <c r="A13" s="106" t="inlineStr">
        <is>
          <t>3. Paper unit = $25 (Settings!B3). Book = FRD. This is the public record, not personal bets.</t>
        </is>
      </c>
    </row>
    <row r="14" ht="18" customHeight="1" s="91">
      <c r="A14" s="107" t="inlineStr">
        <is>
          <t>4. Grade after the game. Tuesday Grade and recaps read THIS file.</t>
        </is>
      </c>
    </row>
    <row r="15" ht="18" customHeight="1" s="91">
      <c r="A15" s="106" t="inlineStr">
        <is>
          <t>5. The Flyer is on the Flyer tab. It is NOT in the boxes above and not on Tuesday Grade.</t>
        </is>
      </c>
    </row>
    <row r="17" ht="15" customHeight="1" s="91">
      <c r="A17" s="108" t="inlineStr">
        <is>
          <t>WEEKLY ROLLUP  (auto from Bets tab)</t>
        </is>
      </c>
    </row>
    <row r="19" ht="15" customHeight="1" s="91">
      <c r="A19" s="109" t="inlineStr">
        <is>
          <t>Week</t>
        </is>
      </c>
      <c r="B19" s="109" t="inlineStr">
        <is>
          <t>Bets</t>
        </is>
      </c>
      <c r="C19" s="109" t="inlineStr">
        <is>
          <t>W</t>
        </is>
      </c>
      <c r="D19" s="109" t="inlineStr">
        <is>
          <t>L</t>
        </is>
      </c>
      <c r="E19" s="109" t="inlineStr">
        <is>
          <t>P</t>
        </is>
      </c>
      <c r="F19" s="109" t="inlineStr">
        <is>
          <t>Win %</t>
        </is>
      </c>
      <c r="G19" s="109" t="inlineStr">
        <is>
          <t>Units</t>
        </is>
      </c>
      <c r="H19" s="109" t="inlineStr">
        <is>
          <t>Profit $</t>
        </is>
      </c>
    </row>
    <row r="20" ht="15" customHeight="1" s="91">
      <c r="A20" s="110" t="n">
        <v>1</v>
      </c>
      <c r="B20" s="111">
        <f>COUNTIF(Bets!B$8:B$507,A20)</f>
        <v/>
      </c>
      <c r="C20" s="111">
        <f>COUNTIFS(Bets!B$8:B$507,A20,Bets!L$8:L$507,"W")</f>
        <v/>
      </c>
      <c r="D20" s="111">
        <f>COUNTIFS(Bets!B$8:B$507,A20,Bets!L$8:L$507,"L")</f>
        <v/>
      </c>
      <c r="E20" s="111">
        <f>COUNTIFS(Bets!B$8:B$507,A20,Bets!L$8:L$507,"P")</f>
        <v/>
      </c>
      <c r="F20" s="112">
        <f>IF((C20+D20)=0,"—",C20/(C20+D20))</f>
        <v/>
      </c>
      <c r="G20" s="113">
        <f>SUMIF(Bets!B$8:B$507,A20,Bets!N$8:N$507)</f>
        <v/>
      </c>
      <c r="H20" s="114">
        <f>SUMIF(Bets!B$8:B$507,A20,Bets!O$8:O$507)</f>
        <v/>
      </c>
    </row>
    <row r="21" ht="15" customHeight="1" s="91">
      <c r="A21" s="115" t="n">
        <v>2</v>
      </c>
      <c r="B21" s="116">
        <f>COUNTIF(Bets!B$8:B$507,A21)</f>
        <v/>
      </c>
      <c r="C21" s="116">
        <f>COUNTIFS(Bets!B$8:B$507,A21,Bets!L$8:L$507,"W")</f>
        <v/>
      </c>
      <c r="D21" s="116">
        <f>COUNTIFS(Bets!B$8:B$507,A21,Bets!L$8:L$507,"L")</f>
        <v/>
      </c>
      <c r="E21" s="116">
        <f>COUNTIFS(Bets!B$8:B$507,A21,Bets!L$8:L$507,"P")</f>
        <v/>
      </c>
      <c r="F21" s="117">
        <f>IF((C21+D21)=0,"—",C21/(C21+D21))</f>
        <v/>
      </c>
      <c r="G21" s="118">
        <f>SUMIF(Bets!B$8:B$507,A21,Bets!N$8:N$507)</f>
        <v/>
      </c>
      <c r="H21" s="119">
        <f>SUMIF(Bets!B$8:B$507,A21,Bets!O$8:O$507)</f>
        <v/>
      </c>
    </row>
    <row r="22" ht="15" customHeight="1" s="91">
      <c r="A22" s="110" t="n">
        <v>3</v>
      </c>
      <c r="B22" s="111">
        <f>COUNTIF(Bets!B$8:B$507,A22)</f>
        <v/>
      </c>
      <c r="C22" s="111">
        <f>COUNTIFS(Bets!B$8:B$507,A22,Bets!L$8:L$507,"W")</f>
        <v/>
      </c>
      <c r="D22" s="111">
        <f>COUNTIFS(Bets!B$8:B$507,A22,Bets!L$8:L$507,"L")</f>
        <v/>
      </c>
      <c r="E22" s="111">
        <f>COUNTIFS(Bets!B$8:B$507,A22,Bets!L$8:L$507,"P")</f>
        <v/>
      </c>
      <c r="F22" s="112">
        <f>IF((C22+D22)=0,"—",C22/(C22+D22))</f>
        <v/>
      </c>
      <c r="G22" s="113">
        <f>SUMIF(Bets!B$8:B$507,A22,Bets!N$8:N$507)</f>
        <v/>
      </c>
      <c r="H22" s="114">
        <f>SUMIF(Bets!B$8:B$507,A22,Bets!O$8:O$507)</f>
        <v/>
      </c>
    </row>
    <row r="23" ht="15" customHeight="1" s="91">
      <c r="A23" s="115" t="n">
        <v>4</v>
      </c>
      <c r="B23" s="116">
        <f>COUNTIF(Bets!B$8:B$507,A23)</f>
        <v/>
      </c>
      <c r="C23" s="116">
        <f>COUNTIFS(Bets!B$8:B$507,A23,Bets!L$8:L$507,"W")</f>
        <v/>
      </c>
      <c r="D23" s="116">
        <f>COUNTIFS(Bets!B$8:B$507,A23,Bets!L$8:L$507,"L")</f>
        <v/>
      </c>
      <c r="E23" s="116">
        <f>COUNTIFS(Bets!B$8:B$507,A23,Bets!L$8:L$507,"P")</f>
        <v/>
      </c>
      <c r="F23" s="117">
        <f>IF((C23+D23)=0,"—",C23/(C23+D23))</f>
        <v/>
      </c>
      <c r="G23" s="118">
        <f>SUMIF(Bets!B$8:B$507,A23,Bets!N$8:N$507)</f>
        <v/>
      </c>
      <c r="H23" s="119">
        <f>SUMIF(Bets!B$8:B$507,A23,Bets!O$8:O$507)</f>
        <v/>
      </c>
    </row>
    <row r="24" ht="15" customHeight="1" s="91">
      <c r="A24" s="110" t="n">
        <v>5</v>
      </c>
      <c r="B24" s="111">
        <f>COUNTIF(Bets!B$8:B$507,A24)</f>
        <v/>
      </c>
      <c r="C24" s="111">
        <f>COUNTIFS(Bets!B$8:B$507,A24,Bets!L$8:L$507,"W")</f>
        <v/>
      </c>
      <c r="D24" s="111">
        <f>COUNTIFS(Bets!B$8:B$507,A24,Bets!L$8:L$507,"L")</f>
        <v/>
      </c>
      <c r="E24" s="111">
        <f>COUNTIFS(Bets!B$8:B$507,A24,Bets!L$8:L$507,"P")</f>
        <v/>
      </c>
      <c r="F24" s="112">
        <f>IF((C24+D24)=0,"—",C24/(C24+D24))</f>
        <v/>
      </c>
      <c r="G24" s="113">
        <f>SUMIF(Bets!B$8:B$507,A24,Bets!N$8:N$507)</f>
        <v/>
      </c>
      <c r="H24" s="114">
        <f>SUMIF(Bets!B$8:B$507,A24,Bets!O$8:O$507)</f>
        <v/>
      </c>
    </row>
    <row r="25" ht="15" customHeight="1" s="91">
      <c r="A25" s="115" t="n">
        <v>6</v>
      </c>
      <c r="B25" s="116">
        <f>COUNTIF(Bets!B$8:B$507,A25)</f>
        <v/>
      </c>
      <c r="C25" s="116">
        <f>COUNTIFS(Bets!B$8:B$507,A25,Bets!L$8:L$507,"W")</f>
        <v/>
      </c>
      <c r="D25" s="116">
        <f>COUNTIFS(Bets!B$8:B$507,A25,Bets!L$8:L$507,"L")</f>
        <v/>
      </c>
      <c r="E25" s="116">
        <f>COUNTIFS(Bets!B$8:B$507,A25,Bets!L$8:L$507,"P")</f>
        <v/>
      </c>
      <c r="F25" s="117">
        <f>IF((C25+D25)=0,"—",C25/(C25+D25))</f>
        <v/>
      </c>
      <c r="G25" s="118">
        <f>SUMIF(Bets!B$8:B$507,A25,Bets!N$8:N$507)</f>
        <v/>
      </c>
      <c r="H25" s="119">
        <f>SUMIF(Bets!B$8:B$507,A25,Bets!O$8:O$507)</f>
        <v/>
      </c>
    </row>
    <row r="26" ht="15" customHeight="1" s="91">
      <c r="A26" s="110" t="n">
        <v>7</v>
      </c>
      <c r="B26" s="111">
        <f>COUNTIF(Bets!B$8:B$507,A26)</f>
        <v/>
      </c>
      <c r="C26" s="111">
        <f>COUNTIFS(Bets!B$8:B$507,A26,Bets!L$8:L$507,"W")</f>
        <v/>
      </c>
      <c r="D26" s="111">
        <f>COUNTIFS(Bets!B$8:B$507,A26,Bets!L$8:L$507,"L")</f>
        <v/>
      </c>
      <c r="E26" s="111">
        <f>COUNTIFS(Bets!B$8:B$507,A26,Bets!L$8:L$507,"P")</f>
        <v/>
      </c>
      <c r="F26" s="112">
        <f>IF((C26+D26)=0,"—",C26/(C26+D26))</f>
        <v/>
      </c>
      <c r="G26" s="113">
        <f>SUMIF(Bets!B$8:B$507,A26,Bets!N$8:N$507)</f>
        <v/>
      </c>
      <c r="H26" s="114">
        <f>SUMIF(Bets!B$8:B$507,A26,Bets!O$8:O$507)</f>
        <v/>
      </c>
    </row>
    <row r="27" ht="15" customHeight="1" s="91">
      <c r="A27" s="115" t="n">
        <v>8</v>
      </c>
      <c r="B27" s="116">
        <f>COUNTIF(Bets!B$8:B$507,A27)</f>
        <v/>
      </c>
      <c r="C27" s="116">
        <f>COUNTIFS(Bets!B$8:B$507,A27,Bets!L$8:L$507,"W")</f>
        <v/>
      </c>
      <c r="D27" s="116">
        <f>COUNTIFS(Bets!B$8:B$507,A27,Bets!L$8:L$507,"L")</f>
        <v/>
      </c>
      <c r="E27" s="116">
        <f>COUNTIFS(Bets!B$8:B$507,A27,Bets!L$8:L$507,"P")</f>
        <v/>
      </c>
      <c r="F27" s="117">
        <f>IF((C27+D27)=0,"—",C27/(C27+D27))</f>
        <v/>
      </c>
      <c r="G27" s="118">
        <f>SUMIF(Bets!B$8:B$507,A27,Bets!N$8:N$507)</f>
        <v/>
      </c>
      <c r="H27" s="119">
        <f>SUMIF(Bets!B$8:B$507,A27,Bets!O$8:O$507)</f>
        <v/>
      </c>
    </row>
    <row r="28" ht="15" customHeight="1" s="91">
      <c r="A28" s="110" t="n">
        <v>9</v>
      </c>
      <c r="B28" s="111">
        <f>COUNTIF(Bets!B$8:B$507,A28)</f>
        <v/>
      </c>
      <c r="C28" s="111">
        <f>COUNTIFS(Bets!B$8:B$507,A28,Bets!L$8:L$507,"W")</f>
        <v/>
      </c>
      <c r="D28" s="111">
        <f>COUNTIFS(Bets!B$8:B$507,A28,Bets!L$8:L$507,"L")</f>
        <v/>
      </c>
      <c r="E28" s="111">
        <f>COUNTIFS(Bets!B$8:B$507,A28,Bets!L$8:L$507,"P")</f>
        <v/>
      </c>
      <c r="F28" s="112">
        <f>IF((C28+D28)=0,"—",C28/(C28+D28))</f>
        <v/>
      </c>
      <c r="G28" s="113">
        <f>SUMIF(Bets!B$8:B$507,A28,Bets!N$8:N$507)</f>
        <v/>
      </c>
      <c r="H28" s="114">
        <f>SUMIF(Bets!B$8:B$507,A28,Bets!O$8:O$507)</f>
        <v/>
      </c>
    </row>
    <row r="29" ht="15" customHeight="1" s="91">
      <c r="A29" s="115" t="n">
        <v>10</v>
      </c>
      <c r="B29" s="116">
        <f>COUNTIF(Bets!B$8:B$507,A29)</f>
        <v/>
      </c>
      <c r="C29" s="116">
        <f>COUNTIFS(Bets!B$8:B$507,A29,Bets!L$8:L$507,"W")</f>
        <v/>
      </c>
      <c r="D29" s="116">
        <f>COUNTIFS(Bets!B$8:B$507,A29,Bets!L$8:L$507,"L")</f>
        <v/>
      </c>
      <c r="E29" s="116">
        <f>COUNTIFS(Bets!B$8:B$507,A29,Bets!L$8:L$507,"P")</f>
        <v/>
      </c>
      <c r="F29" s="117">
        <f>IF((C29+D29)=0,"—",C29/(C29+D29))</f>
        <v/>
      </c>
      <c r="G29" s="118">
        <f>SUMIF(Bets!B$8:B$507,A29,Bets!N$8:N$507)</f>
        <v/>
      </c>
      <c r="H29" s="119">
        <f>SUMIF(Bets!B$8:B$507,A29,Bets!O$8:O$507)</f>
        <v/>
      </c>
    </row>
    <row r="30" ht="15" customHeight="1" s="91">
      <c r="A30" s="110" t="n">
        <v>11</v>
      </c>
      <c r="B30" s="111">
        <f>COUNTIF(Bets!B$8:B$507,A30)</f>
        <v/>
      </c>
      <c r="C30" s="111">
        <f>COUNTIFS(Bets!B$8:B$507,A30,Bets!L$8:L$507,"W")</f>
        <v/>
      </c>
      <c r="D30" s="111">
        <f>COUNTIFS(Bets!B$8:B$507,A30,Bets!L$8:L$507,"L")</f>
        <v/>
      </c>
      <c r="E30" s="111">
        <f>COUNTIFS(Bets!B$8:B$507,A30,Bets!L$8:L$507,"P")</f>
        <v/>
      </c>
      <c r="F30" s="112">
        <f>IF((C30+D30)=0,"—",C30/(C30+D30))</f>
        <v/>
      </c>
      <c r="G30" s="113">
        <f>SUMIF(Bets!B$8:B$507,A30,Bets!N$8:N$507)</f>
        <v/>
      </c>
      <c r="H30" s="114">
        <f>SUMIF(Bets!B$8:B$507,A30,Bets!O$8:O$507)</f>
        <v/>
      </c>
    </row>
    <row r="31" ht="15" customHeight="1" s="91">
      <c r="A31" s="115" t="n">
        <v>12</v>
      </c>
      <c r="B31" s="116">
        <f>COUNTIF(Bets!B$8:B$507,A31)</f>
        <v/>
      </c>
      <c r="C31" s="116">
        <f>COUNTIFS(Bets!B$8:B$507,A31,Bets!L$8:L$507,"W")</f>
        <v/>
      </c>
      <c r="D31" s="116">
        <f>COUNTIFS(Bets!B$8:B$507,A31,Bets!L$8:L$507,"L")</f>
        <v/>
      </c>
      <c r="E31" s="116">
        <f>COUNTIFS(Bets!B$8:B$507,A31,Bets!L$8:L$507,"P")</f>
        <v/>
      </c>
      <c r="F31" s="117">
        <f>IF((C31+D31)=0,"—",C31/(C31+D31))</f>
        <v/>
      </c>
      <c r="G31" s="118">
        <f>SUMIF(Bets!B$8:B$507,A31,Bets!N$8:N$507)</f>
        <v/>
      </c>
      <c r="H31" s="119">
        <f>SUMIF(Bets!B$8:B$507,A31,Bets!O$8:O$507)</f>
        <v/>
      </c>
    </row>
    <row r="32" ht="15" customHeight="1" s="91">
      <c r="A32" s="110" t="n">
        <v>13</v>
      </c>
      <c r="B32" s="111">
        <f>COUNTIF(Bets!B$8:B$507,A32)</f>
        <v/>
      </c>
      <c r="C32" s="111">
        <f>COUNTIFS(Bets!B$8:B$507,A32,Bets!L$8:L$507,"W")</f>
        <v/>
      </c>
      <c r="D32" s="111">
        <f>COUNTIFS(Bets!B$8:B$507,A32,Bets!L$8:L$507,"L")</f>
        <v/>
      </c>
      <c r="E32" s="111">
        <f>COUNTIFS(Bets!B$8:B$507,A32,Bets!L$8:L$507,"P")</f>
        <v/>
      </c>
      <c r="F32" s="112">
        <f>IF((C32+D32)=0,"—",C32/(C32+D32))</f>
        <v/>
      </c>
      <c r="G32" s="113">
        <f>SUMIF(Bets!B$8:B$507,A32,Bets!N$8:N$507)</f>
        <v/>
      </c>
      <c r="H32" s="114">
        <f>SUMIF(Bets!B$8:B$507,A32,Bets!O$8:O$507)</f>
        <v/>
      </c>
    </row>
    <row r="33" ht="15" customHeight="1" s="91">
      <c r="A33" s="115" t="n">
        <v>14</v>
      </c>
      <c r="B33" s="116">
        <f>COUNTIF(Bets!B$8:B$507,A33)</f>
        <v/>
      </c>
      <c r="C33" s="116">
        <f>COUNTIFS(Bets!B$8:B$507,A33,Bets!L$8:L$507,"W")</f>
        <v/>
      </c>
      <c r="D33" s="116">
        <f>COUNTIFS(Bets!B$8:B$507,A33,Bets!L$8:L$507,"L")</f>
        <v/>
      </c>
      <c r="E33" s="116">
        <f>COUNTIFS(Bets!B$8:B$507,A33,Bets!L$8:L$507,"P")</f>
        <v/>
      </c>
      <c r="F33" s="117">
        <f>IF((C33+D33)=0,"—",C33/(C33+D33))</f>
        <v/>
      </c>
      <c r="G33" s="118">
        <f>SUMIF(Bets!B$8:B$507,A33,Bets!N$8:N$507)</f>
        <v/>
      </c>
      <c r="H33" s="119">
        <f>SUMIF(Bets!B$8:B$507,A33,Bets!O$8:O$507)</f>
        <v/>
      </c>
    </row>
    <row r="34" ht="15" customHeight="1" s="91">
      <c r="A34" s="110" t="n">
        <v>15</v>
      </c>
      <c r="B34" s="111">
        <f>COUNTIF(Bets!B$8:B$507,A34)</f>
        <v/>
      </c>
      <c r="C34" s="111">
        <f>COUNTIFS(Bets!B$8:B$507,A34,Bets!L$8:L$507,"W")</f>
        <v/>
      </c>
      <c r="D34" s="111">
        <f>COUNTIFS(Bets!B$8:B$507,A34,Bets!L$8:L$507,"L")</f>
        <v/>
      </c>
      <c r="E34" s="111">
        <f>COUNTIFS(Bets!B$8:B$507,A34,Bets!L$8:L$507,"P")</f>
        <v/>
      </c>
      <c r="F34" s="112">
        <f>IF((C34+D34)=0,"—",C34/(C34+D34))</f>
        <v/>
      </c>
      <c r="G34" s="113">
        <f>SUMIF(Bets!B$8:B$507,A34,Bets!N$8:N$507)</f>
        <v/>
      </c>
      <c r="H34" s="114">
        <f>SUMIF(Bets!B$8:B$507,A34,Bets!O$8:O$507)</f>
        <v/>
      </c>
    </row>
    <row r="35" ht="15" customHeight="1" s="91">
      <c r="A35" s="115" t="n">
        <v>16</v>
      </c>
      <c r="B35" s="116">
        <f>COUNTIF(Bets!B$8:B$507,A35)</f>
        <v/>
      </c>
      <c r="C35" s="116">
        <f>COUNTIFS(Bets!B$8:B$507,A35,Bets!L$8:L$507,"W")</f>
        <v/>
      </c>
      <c r="D35" s="116">
        <f>COUNTIFS(Bets!B$8:B$507,A35,Bets!L$8:L$507,"L")</f>
        <v/>
      </c>
      <c r="E35" s="116">
        <f>COUNTIFS(Bets!B$8:B$507,A35,Bets!L$8:L$507,"P")</f>
        <v/>
      </c>
      <c r="F35" s="117">
        <f>IF((C35+D35)=0,"—",C35/(C35+D35))</f>
        <v/>
      </c>
      <c r="G35" s="118">
        <f>SUMIF(Bets!B$8:B$507,A35,Bets!N$8:N$507)</f>
        <v/>
      </c>
      <c r="H35" s="119">
        <f>SUMIF(Bets!B$8:B$507,A35,Bets!O$8:O$507)</f>
        <v/>
      </c>
    </row>
    <row r="36" ht="15" customHeight="1" s="91">
      <c r="A36" s="110" t="n">
        <v>17</v>
      </c>
      <c r="B36" s="111">
        <f>COUNTIF(Bets!B$8:B$507,A36)</f>
        <v/>
      </c>
      <c r="C36" s="111">
        <f>COUNTIFS(Bets!B$8:B$507,A36,Bets!L$8:L$507,"W")</f>
        <v/>
      </c>
      <c r="D36" s="111">
        <f>COUNTIFS(Bets!B$8:B$507,A36,Bets!L$8:L$507,"L")</f>
        <v/>
      </c>
      <c r="E36" s="111">
        <f>COUNTIFS(Bets!B$8:B$507,A36,Bets!L$8:L$507,"P")</f>
        <v/>
      </c>
      <c r="F36" s="112">
        <f>IF((C36+D36)=0,"—",C36/(C36+D36))</f>
        <v/>
      </c>
      <c r="G36" s="113">
        <f>SUMIF(Bets!B$8:B$507,A36,Bets!N$8:N$507)</f>
        <v/>
      </c>
      <c r="H36" s="114">
        <f>SUMIF(Bets!B$8:B$507,A36,Bets!O$8:O$507)</f>
        <v/>
      </c>
    </row>
    <row r="37" ht="15" customHeight="1" s="91">
      <c r="A37" s="115" t="n">
        <v>18</v>
      </c>
      <c r="B37" s="116">
        <f>COUNTIF(Bets!B$8:B$507,A37)</f>
        <v/>
      </c>
      <c r="C37" s="116">
        <f>COUNTIFS(Bets!B$8:B$507,A37,Bets!L$8:L$507,"W")</f>
        <v/>
      </c>
      <c r="D37" s="116">
        <f>COUNTIFS(Bets!B$8:B$507,A37,Bets!L$8:L$507,"L")</f>
        <v/>
      </c>
      <c r="E37" s="116">
        <f>COUNTIFS(Bets!B$8:B$507,A37,Bets!L$8:L$507,"P")</f>
        <v/>
      </c>
      <c r="F37" s="117">
        <f>IF((C37+D37)=0,"—",C37/(C37+D37))</f>
        <v/>
      </c>
      <c r="G37" s="118">
        <f>SUMIF(Bets!B$8:B$507,A37,Bets!N$8:N$507)</f>
        <v/>
      </c>
      <c r="H37" s="119">
        <f>SUMIF(Bets!B$8:B$507,A37,Bets!O$8:O$507)</f>
        <v/>
      </c>
    </row>
    <row r="38" ht="15" customHeight="1" s="91">
      <c r="A38" s="120" t="inlineStr">
        <is>
          <t>TOTAL</t>
        </is>
      </c>
      <c r="B38" s="120">
        <f>SUM(B20:B37)</f>
        <v/>
      </c>
      <c r="C38" s="120">
        <f>SUM(C20:C37)</f>
        <v/>
      </c>
      <c r="D38" s="120">
        <f>SUM(D20:D37)</f>
        <v/>
      </c>
      <c r="E38" s="120">
        <f>SUM(E20:E37)</f>
        <v/>
      </c>
      <c r="F38" s="121">
        <f>IF((C38+D38)=0,"—",C38/(C38+D38))</f>
        <v/>
      </c>
      <c r="G38" s="122">
        <f>SUM(G20:G37)</f>
        <v/>
      </c>
      <c r="H38" s="123">
        <f>SUM(H20:H37)</f>
        <v/>
      </c>
    </row>
    <row r="40" ht="15" customHeight="1" s="91">
      <c r="A40" s="108" t="inlineStr">
        <is>
          <t>RECORD BY BET TYPE</t>
        </is>
      </c>
    </row>
    <row r="41" ht="15" customHeight="1" s="91">
      <c r="A41" s="109" t="inlineStr">
        <is>
          <t>Type</t>
        </is>
      </c>
      <c r="B41" s="109" t="inlineStr">
        <is>
          <t>Bets</t>
        </is>
      </c>
      <c r="C41" s="109" t="inlineStr">
        <is>
          <t>W</t>
        </is>
      </c>
      <c r="D41" s="109" t="inlineStr">
        <is>
          <t>L</t>
        </is>
      </c>
      <c r="E41" s="109" t="inlineStr">
        <is>
          <t>P</t>
        </is>
      </c>
      <c r="F41" s="109" t="inlineStr">
        <is>
          <t>Win %</t>
        </is>
      </c>
      <c r="G41" s="109" t="inlineStr">
        <is>
          <t>Units</t>
        </is>
      </c>
      <c r="H41" s="109" t="inlineStr">
        <is>
          <t>Profit $</t>
        </is>
      </c>
    </row>
    <row r="42" ht="15" customHeight="1" s="91">
      <c r="A42" s="124" t="inlineStr">
        <is>
          <t>Spread</t>
        </is>
      </c>
      <c r="B42" s="111">
        <f>COUNTIF(Bets!F$8:F$507,A42)</f>
        <v/>
      </c>
      <c r="C42" s="111">
        <f>COUNTIFS(Bets!F$8:F$507,A42,Bets!L$8:L$507,"W")</f>
        <v/>
      </c>
      <c r="D42" s="111">
        <f>COUNTIFS(Bets!F$8:F$507,A42,Bets!L$8:L$507,"L")</f>
        <v/>
      </c>
      <c r="E42" s="111">
        <f>COUNTIFS(Bets!F$8:F$507,A42,Bets!L$8:L$507,"P")</f>
        <v/>
      </c>
      <c r="F42" s="112">
        <f>IF((C42+D42)=0,"—",C42/(C42+D42))</f>
        <v/>
      </c>
      <c r="G42" s="113">
        <f>SUMIF(Bets!F$8:F$507,A42,Bets!N$8:N$507)</f>
        <v/>
      </c>
      <c r="H42" s="114">
        <f>SUMIF(Bets!F$8:F$507,A42,Bets!O$8:O$507)</f>
        <v/>
      </c>
    </row>
    <row r="43" ht="15" customHeight="1" s="91">
      <c r="A43" s="125" t="inlineStr">
        <is>
          <t>Moneyline</t>
        </is>
      </c>
      <c r="B43" s="116">
        <f>COUNTIF(Bets!F$8:F$507,A43)</f>
        <v/>
      </c>
      <c r="C43" s="116">
        <f>COUNTIFS(Bets!F$8:F$507,A43,Bets!L$8:L$507,"W")</f>
        <v/>
      </c>
      <c r="D43" s="116">
        <f>COUNTIFS(Bets!F$8:F$507,A43,Bets!L$8:L$507,"L")</f>
        <v/>
      </c>
      <c r="E43" s="116">
        <f>COUNTIFS(Bets!F$8:F$507,A43,Bets!L$8:L$507,"P")</f>
        <v/>
      </c>
      <c r="F43" s="117">
        <f>IF((C43+D43)=0,"—",C43/(C43+D43))</f>
        <v/>
      </c>
      <c r="G43" s="118">
        <f>SUMIF(Bets!F$8:F$507,A43,Bets!N$8:N$507)</f>
        <v/>
      </c>
      <c r="H43" s="119">
        <f>SUMIF(Bets!F$8:F$507,A43,Bets!O$8:O$507)</f>
        <v/>
      </c>
    </row>
    <row r="44" ht="15" customHeight="1" s="91">
      <c r="A44" s="124" t="inlineStr">
        <is>
          <t>Total</t>
        </is>
      </c>
      <c r="B44" s="111">
        <f>COUNTIF(Bets!F$8:F$507,A44)</f>
        <v/>
      </c>
      <c r="C44" s="111">
        <f>COUNTIFS(Bets!F$8:F$507,A44,Bets!L$8:L$507,"W")</f>
        <v/>
      </c>
      <c r="D44" s="111">
        <f>COUNTIFS(Bets!F$8:F$507,A44,Bets!L$8:L$507,"L")</f>
        <v/>
      </c>
      <c r="E44" s="111">
        <f>COUNTIFS(Bets!F$8:F$507,A44,Bets!L$8:L$507,"P")</f>
        <v/>
      </c>
      <c r="F44" s="112">
        <f>IF((C44+D44)=0,"—",C44/(C44+D44))</f>
        <v/>
      </c>
      <c r="G44" s="113">
        <f>SUMIF(Bets!F$8:F$507,A44,Bets!N$8:N$507)</f>
        <v/>
      </c>
      <c r="H44" s="114">
        <f>SUMIF(Bets!F$8:F$507,A44,Bets!O$8:O$507)</f>
        <v/>
      </c>
    </row>
    <row r="45" ht="15" customHeight="1" s="91">
      <c r="A45" s="125" t="inlineStr">
        <is>
          <t>Player Prop</t>
        </is>
      </c>
      <c r="B45" s="116">
        <f>COUNTIF(Bets!F$8:F$507,A45)</f>
        <v/>
      </c>
      <c r="C45" s="116">
        <f>COUNTIFS(Bets!F$8:F$507,A45,Bets!L$8:L$507,"W")</f>
        <v/>
      </c>
      <c r="D45" s="116">
        <f>COUNTIFS(Bets!F$8:F$507,A45,Bets!L$8:L$507,"L")</f>
        <v/>
      </c>
      <c r="E45" s="116">
        <f>COUNTIFS(Bets!F$8:F$507,A45,Bets!L$8:L$507,"P")</f>
        <v/>
      </c>
      <c r="F45" s="117">
        <f>IF((C45+D45)=0,"—",C45/(C45+D45))</f>
        <v/>
      </c>
      <c r="G45" s="118">
        <f>SUMIF(Bets!F$8:F$507,A45,Bets!N$8:N$507)</f>
        <v/>
      </c>
      <c r="H45" s="119">
        <f>SUMIF(Bets!F$8:F$507,A45,Bets!O$8:O$507)</f>
        <v/>
      </c>
    </row>
    <row r="46" ht="15" customHeight="1" s="91">
      <c r="A46" s="124" t="inlineStr">
        <is>
          <t>Team Prop</t>
        </is>
      </c>
      <c r="B46" s="111">
        <f>COUNTIF(Bets!F$8:F$507,A46)</f>
        <v/>
      </c>
      <c r="C46" s="111">
        <f>COUNTIFS(Bets!F$8:F$507,A46,Bets!L$8:L$507,"W")</f>
        <v/>
      </c>
      <c r="D46" s="111">
        <f>COUNTIFS(Bets!F$8:F$507,A46,Bets!L$8:L$507,"L")</f>
        <v/>
      </c>
      <c r="E46" s="111">
        <f>COUNTIFS(Bets!F$8:F$507,A46,Bets!L$8:L$507,"P")</f>
        <v/>
      </c>
      <c r="F46" s="112">
        <f>IF((C46+D46)=0,"—",C46/(C46+D46))</f>
        <v/>
      </c>
      <c r="G46" s="113">
        <f>SUMIF(Bets!F$8:F$507,A46,Bets!N$8:N$507)</f>
        <v/>
      </c>
      <c r="H46" s="114">
        <f>SUMIF(Bets!F$8:F$507,A46,Bets!O$8:O$507)</f>
        <v/>
      </c>
    </row>
    <row r="47" ht="15" customHeight="1" s="91">
      <c r="A47" s="125" t="inlineStr">
        <is>
          <t>Parlay</t>
        </is>
      </c>
      <c r="B47" s="116">
        <f>COUNTIF(Bets!F$8:F$507,A47)</f>
        <v/>
      </c>
      <c r="C47" s="116">
        <f>COUNTIFS(Bets!F$8:F$507,A47,Bets!L$8:L$507,"W")</f>
        <v/>
      </c>
      <c r="D47" s="116">
        <f>COUNTIFS(Bets!F$8:F$507,A47,Bets!L$8:L$507,"L")</f>
        <v/>
      </c>
      <c r="E47" s="116">
        <f>COUNTIFS(Bets!F$8:F$507,A47,Bets!L$8:L$507,"P")</f>
        <v/>
      </c>
      <c r="F47" s="117">
        <f>IF((C47+D47)=0,"—",C47/(C47+D47))</f>
        <v/>
      </c>
      <c r="G47" s="118">
        <f>SUMIF(Bets!F$8:F$507,A47,Bets!N$8:N$507)</f>
        <v/>
      </c>
      <c r="H47" s="119">
        <f>SUMIF(Bets!F$8:F$507,A47,Bets!O$8:O$507)</f>
        <v/>
      </c>
    </row>
    <row r="48" ht="15" customHeight="1" s="91">
      <c r="A48" s="124" t="inlineStr">
        <is>
          <t>Teaser</t>
        </is>
      </c>
      <c r="B48" s="111">
        <f>COUNTIF(Bets!F$8:F$507,A48)</f>
        <v/>
      </c>
      <c r="C48" s="111">
        <f>COUNTIFS(Bets!F$8:F$507,A48,Bets!L$8:L$507,"W")</f>
        <v/>
      </c>
      <c r="D48" s="111">
        <f>COUNTIFS(Bets!F$8:F$507,A48,Bets!L$8:L$507,"L")</f>
        <v/>
      </c>
      <c r="E48" s="111">
        <f>COUNTIFS(Bets!F$8:F$507,A48,Bets!L$8:L$507,"P")</f>
        <v/>
      </c>
      <c r="F48" s="112">
        <f>IF((C48+D48)=0,"—",C48/(C48+D48))</f>
        <v/>
      </c>
      <c r="G48" s="113">
        <f>SUMIF(Bets!F$8:F$507,A48,Bets!N$8:N$507)</f>
        <v/>
      </c>
      <c r="H48" s="114">
        <f>SUMIF(Bets!F$8:F$507,A48,Bets!O$8:O$507)</f>
        <v/>
      </c>
    </row>
    <row r="49" ht="15" customHeight="1" s="91">
      <c r="A49" s="125" t="inlineStr">
        <is>
          <t>Future</t>
        </is>
      </c>
      <c r="B49" s="116">
        <f>COUNTIF(Bets!F$8:F$507,A49)</f>
        <v/>
      </c>
      <c r="C49" s="116">
        <f>COUNTIFS(Bets!F$8:F$507,A49,Bets!L$8:L$507,"W")</f>
        <v/>
      </c>
      <c r="D49" s="116">
        <f>COUNTIFS(Bets!F$8:F$507,A49,Bets!L$8:L$507,"L")</f>
        <v/>
      </c>
      <c r="E49" s="116">
        <f>COUNTIFS(Bets!F$8:F$507,A49,Bets!L$8:L$507,"P")</f>
        <v/>
      </c>
      <c r="F49" s="117">
        <f>IF((C49+D49)=0,"—",C49/(C49+D49))</f>
        <v/>
      </c>
      <c r="G49" s="118">
        <f>SUMIF(Bets!F$8:F$507,A49,Bets!N$8:N$507)</f>
        <v/>
      </c>
      <c r="H49" s="119">
        <f>SUMIF(Bets!F$8:F$507,A49,Bets!O$8:O$507)</f>
        <v/>
      </c>
    </row>
    <row r="50" ht="15" customHeight="1" s="91">
      <c r="A50" s="124" t="inlineStr">
        <is>
          <t>Other</t>
        </is>
      </c>
      <c r="B50" s="111">
        <f>COUNTIF(Bets!F$8:F$507,A50)</f>
        <v/>
      </c>
      <c r="C50" s="111">
        <f>COUNTIFS(Bets!F$8:F$507,A50,Bets!L$8:L$507,"W")</f>
        <v/>
      </c>
      <c r="D50" s="111">
        <f>COUNTIFS(Bets!F$8:F$507,A50,Bets!L$8:L$507,"L")</f>
        <v/>
      </c>
      <c r="E50" s="111">
        <f>COUNTIFS(Bets!F$8:F$507,A50,Bets!L$8:L$507,"P")</f>
        <v/>
      </c>
      <c r="F50" s="112">
        <f>IF((C50+D50)=0,"—",C50/(C50+D50))</f>
        <v/>
      </c>
      <c r="G50" s="113">
        <f>SUMIF(Bets!F$8:F$507,A50,Bets!N$8:N$507)</f>
        <v/>
      </c>
      <c r="H50" s="114">
        <f>SUMIF(Bets!F$8:F$507,A50,Bets!O$8:O$507)</f>
        <v/>
      </c>
    </row>
    <row r="53" ht="15" customHeight="1" s="91">
      <c r="A53" s="126" t="inlineStr">
        <is>
          <t>OPEN TICKETS (not yet graded)</t>
        </is>
      </c>
    </row>
    <row r="54" ht="15" customHeight="1" s="91">
      <c r="A54" s="127">
        <f>IF(COUNTIF(Bets!L8:L507,"PENDING")=0,"None — paste Week 3 card or any new play and I will add it here.","See Bets tab rows marked PENDING.")</f>
        <v/>
      </c>
    </row>
  </sheetData>
  <autoFilter ref="A19:H38"/>
  <mergeCells count="28">
    <mergeCell ref="A54:L54"/>
    <mergeCell ref="J4:L4"/>
    <mergeCell ref="D7:F7"/>
    <mergeCell ref="A12:L12"/>
    <mergeCell ref="J7:L7"/>
    <mergeCell ref="A2:L2"/>
    <mergeCell ref="A5:C5"/>
    <mergeCell ref="G5:I5"/>
    <mergeCell ref="A8:C8"/>
    <mergeCell ref="D4:F4"/>
    <mergeCell ref="A14:L14"/>
    <mergeCell ref="G4:I4"/>
    <mergeCell ref="A17:L17"/>
    <mergeCell ref="A4:C4"/>
    <mergeCell ref="D8:F8"/>
    <mergeCell ref="A53:L53"/>
    <mergeCell ref="A10:L10"/>
    <mergeCell ref="D5:F5"/>
    <mergeCell ref="A13:L13"/>
    <mergeCell ref="J8:L8"/>
    <mergeCell ref="A40:L40"/>
    <mergeCell ref="J5:L5"/>
    <mergeCell ref="A15:L15"/>
    <mergeCell ref="A11:L11"/>
    <mergeCell ref="A1:L1"/>
    <mergeCell ref="G8:I8"/>
    <mergeCell ref="A7:C7"/>
    <mergeCell ref="G7:I7"/>
  </mergeCells>
  <printOptions horizontalCentered="0" verticalCentered="0" headings="0" gridLines="0" gridLinesSet="1"/>
  <pageMargins left="0.75" right="0.75" top="1" bottom="1" header="0.5" footer="0.5"/>
  <pageSetup orientation="landscape" paperSize="3" scale="100" fitToHeight="1" fitToWidth="1" pageOrder="downThenOver" blackAndWhite="0" draft="0" horizontalDpi="300" verticalDpi="300" copies="1"/>
  <headerFooter differentOddEven="0" differentFirst="0">
    <oddHeader>&amp;L2026 NFL Bet Tracker</oddHeader>
    <oddFooter>&amp;LThis chat is the source of truth • Update after each card settles&amp;RPage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Q50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90" min="1" max="1"/>
    <col width="8" customWidth="1" style="90" min="2" max="2"/>
    <col width="12" customWidth="1" style="90" min="3" max="3"/>
    <col width="28" customWidth="1" style="90" min="4" max="4"/>
    <col width="32" customWidth="1" style="90" min="5" max="5"/>
    <col width="14" customWidth="1" style="90" min="6" max="6"/>
    <col width="10" customWidth="1" style="90" min="7" max="7"/>
    <col width="14" customWidth="1" style="90" min="8" max="8"/>
    <col width="12" customWidth="1" style="90" min="9" max="9"/>
    <col width="10" customWidth="1" style="90" min="10" max="10"/>
    <col width="16" customWidth="1" style="90" min="11" max="11"/>
    <col width="12" customWidth="1" style="90" min="12" max="15"/>
    <col width="10" customWidth="1" style="90" min="16" max="16"/>
  </cols>
  <sheetData>
    <row r="1" ht="25.5" customHeight="1" s="91">
      <c r="A1" s="92" t="inlineStr">
        <is>
          <t>BET LOG  •  TEMPLATE</t>
        </is>
      </c>
    </row>
    <row r="2" ht="15" customHeight="1" s="91">
      <c r="A2" s="128" t="inlineStr">
        <is>
          <t>Log After Dark / Packet / Gameday leans only. Status W, L, P, or PENDING.</t>
        </is>
      </c>
    </row>
    <row r="3" ht="15" customHeight="1" s="91">
      <c r="A3" s="129" t="inlineStr">
        <is>
          <t>Source column Q: After Dark | Packet Board | Packet Best 10 | Packet Prop | Gameday. PASS = do not log.</t>
        </is>
      </c>
    </row>
    <row r="4" ht="15" customHeight="1" s="91">
      <c r="A4" s="90" t="inlineStr">
        <is>
          <t>Settings!B3</t>
        </is>
      </c>
    </row>
    <row r="7" ht="27.75" customHeight="1" s="91">
      <c r="A7" s="130" t="inlineStr">
        <is>
          <t>ID</t>
        </is>
      </c>
      <c r="B7" s="130" t="inlineStr">
        <is>
          <t>Week</t>
        </is>
      </c>
      <c r="C7" s="130" t="inlineStr">
        <is>
          <t>Date</t>
        </is>
      </c>
      <c r="D7" s="130" t="inlineStr">
        <is>
          <t>Game</t>
        </is>
      </c>
      <c r="E7" s="130" t="inlineStr">
        <is>
          <t>Play</t>
        </is>
      </c>
      <c r="F7" s="130" t="inlineStr">
        <is>
          <t>Type</t>
        </is>
      </c>
      <c r="G7" s="130" t="inlineStr">
        <is>
          <t>Odds</t>
        </is>
      </c>
      <c r="H7" s="130" t="inlineStr">
        <is>
          <t>Book</t>
        </is>
      </c>
      <c r="I7" s="130" t="inlineStr">
        <is>
          <t>Stake $</t>
        </is>
      </c>
      <c r="J7" s="130" t="inlineStr">
        <is>
          <t>Units</t>
        </is>
      </c>
      <c r="K7" s="130" t="inlineStr">
        <is>
          <t>Result Score</t>
        </is>
      </c>
      <c r="L7" s="130" t="inlineStr">
        <is>
          <t>Status</t>
        </is>
      </c>
      <c r="M7" s="130" t="inlineStr">
        <is>
          <t>Payout $</t>
        </is>
      </c>
      <c r="N7" s="130" t="inlineStr">
        <is>
          <t>Units Won</t>
        </is>
      </c>
      <c r="O7" s="130" t="inlineStr">
        <is>
          <t>Profit $</t>
        </is>
      </c>
      <c r="P7" s="130" t="inlineStr">
        <is>
          <t>League</t>
        </is>
      </c>
      <c r="Q7" s="90" t="inlineStr">
        <is>
          <t>Source</t>
        </is>
      </c>
    </row>
    <row r="8" ht="27.75" customHeight="1" s="91">
      <c r="A8" s="131">
        <f>IF(C8="","",ROW()-7)</f>
        <v/>
      </c>
      <c r="B8" s="132" t="n"/>
      <c r="C8" s="132" t="n"/>
      <c r="D8" s="133" t="n"/>
      <c r="E8" s="133" t="n"/>
      <c r="F8" s="132" t="n"/>
      <c r="G8" s="134" t="n"/>
      <c r="H8" s="132" t="n"/>
      <c r="I8" s="135" t="n"/>
      <c r="J8" s="136" t="n"/>
      <c r="K8" s="133" t="n"/>
      <c r="L8" s="132" t="n"/>
      <c r="M8" s="137">
        <f>IF(OR(L8="",L8="PENDING"),"",IF(L8="P",I8,IF(L8="L",0,IF(G8&lt;0,I8+I8*100/ABS(G8),I8+I8*G8/100))))</f>
        <v/>
      </c>
      <c r="N8" s="138">
        <f>IF(OR(L8="",L8="PENDING"),"",IF(L8="P",0,IF(L8="L",-J8,IF(G8&lt;0,J8*100/ABS(G8),J8*G8/100))))</f>
        <v/>
      </c>
      <c r="O8" s="137">
        <f>IF(OR(L8="",L8="PENDING"),"",IF(L8="P",0,M8-I8))</f>
        <v/>
      </c>
      <c r="P8" s="132" t="n"/>
      <c r="Q8" s="90" t="n"/>
    </row>
    <row r="9" ht="27.75" customHeight="1" s="91">
      <c r="A9" s="139">
        <f>IF(C9="","",ROW()-7)</f>
        <v/>
      </c>
      <c r="B9" s="140" t="n"/>
      <c r="C9" s="140" t="n"/>
      <c r="D9" s="141" t="n"/>
      <c r="E9" s="141" t="n"/>
      <c r="F9" s="140" t="n"/>
      <c r="G9" s="142" t="n"/>
      <c r="H9" s="140" t="n"/>
      <c r="I9" s="143" t="n"/>
      <c r="J9" s="144" t="n"/>
      <c r="K9" s="141" t="n"/>
      <c r="L9" s="140" t="n"/>
      <c r="M9" s="145">
        <f>IF(OR(L9="",L9="PENDING"),"",IF(L9="P",I9,IF(L9="L",0,IF(G9&lt;0,I9+I9*100/ABS(G9),I9+I9*G9/100))))</f>
        <v/>
      </c>
      <c r="N9" s="146">
        <f>IF(OR(L9="",L9="PENDING"),"",IF(L9="P",0,IF(L9="L",-J9,IF(G9&lt;0,J9*100/ABS(G9),J9*G9/100))))</f>
        <v/>
      </c>
      <c r="O9" s="145">
        <f>IF(OR(L9="",L9="PENDING"),"",IF(L9="P",0,M9-I9))</f>
        <v/>
      </c>
      <c r="P9" s="132" t="n"/>
      <c r="Q9" s="90" t="n"/>
    </row>
    <row r="10" ht="27.75" customHeight="1" s="91">
      <c r="A10" s="131">
        <f>IF(C10="","",ROW()-7)</f>
        <v/>
      </c>
      <c r="B10" s="132" t="n"/>
      <c r="C10" s="132" t="n"/>
      <c r="D10" s="133" t="n"/>
      <c r="E10" s="133" t="n"/>
      <c r="F10" s="132" t="n"/>
      <c r="G10" s="134" t="n"/>
      <c r="H10" s="132" t="n"/>
      <c r="I10" s="135" t="n"/>
      <c r="J10" s="136" t="n"/>
      <c r="K10" s="133" t="n"/>
      <c r="L10" s="132" t="n"/>
      <c r="M10" s="137">
        <f>IF(OR(L10="",L10="PENDING"),"",IF(L10="P",I10,IF(L10="L",0,IF(G10&lt;0,I10+I10*100/ABS(G10),I10+I10*G10/100))))</f>
        <v/>
      </c>
      <c r="N10" s="138">
        <f>IF(OR(L10="",L10="PENDING"),"",IF(L10="P",0,IF(L10="L",-J10,IF(G10&lt;0,J10*100/ABS(G10),J10*G10/100))))</f>
        <v/>
      </c>
      <c r="O10" s="137">
        <f>IF(OR(L10="",L10="PENDING"),"",IF(L10="P",0,M10-I10))</f>
        <v/>
      </c>
      <c r="P10" s="132" t="n"/>
      <c r="Q10" s="90" t="n"/>
    </row>
    <row r="11" ht="27.75" customHeight="1" s="91">
      <c r="A11" s="139">
        <f>IF(C11="","",ROW()-7)</f>
        <v/>
      </c>
      <c r="B11" s="140" t="n"/>
      <c r="C11" s="140" t="n"/>
      <c r="D11" s="141" t="n"/>
      <c r="E11" s="141" t="n"/>
      <c r="F11" s="140" t="n"/>
      <c r="G11" s="142" t="n"/>
      <c r="H11" s="140" t="n"/>
      <c r="I11" s="143" t="n"/>
      <c r="J11" s="144" t="n"/>
      <c r="K11" s="141" t="n"/>
      <c r="L11" s="140" t="n"/>
      <c r="M11" s="145">
        <f>IF(OR(L11="",L11="PENDING"),"",IF(L11="P",I11,IF(L11="L",0,IF(G11&lt;0,I11+I11*100/ABS(G11),I11+I11*G11/100))))</f>
        <v/>
      </c>
      <c r="N11" s="146">
        <f>IF(OR(L11="",L11="PENDING"),"",IF(L11="P",0,IF(L11="L",-J11,IF(G11&lt;0,J11*100/ABS(G11),J11*G11/100))))</f>
        <v/>
      </c>
      <c r="O11" s="145">
        <f>IF(OR(L11="",L11="PENDING"),"",IF(L11="P",0,M11-I11))</f>
        <v/>
      </c>
      <c r="P11" s="132" t="n"/>
      <c r="Q11" s="90" t="n"/>
    </row>
    <row r="12" ht="27.75" customHeight="1" s="91">
      <c r="A12" s="131">
        <f>IF(C12="","",ROW()-7)</f>
        <v/>
      </c>
      <c r="B12" s="132" t="n"/>
      <c r="C12" s="132" t="n"/>
      <c r="D12" s="133" t="n"/>
      <c r="E12" s="133" t="n"/>
      <c r="F12" s="132" t="n"/>
      <c r="G12" s="134" t="n"/>
      <c r="H12" s="132" t="n"/>
      <c r="I12" s="135" t="n"/>
      <c r="J12" s="136" t="n"/>
      <c r="K12" s="133" t="n"/>
      <c r="L12" s="132" t="n"/>
      <c r="M12" s="137">
        <f>IF(OR(L12="",L12="PENDING"),"",IF(L12="P",I12,IF(L12="L",0,IF(G12&lt;0,I12+I12*100/ABS(G12),I12+I12*G12/100))))</f>
        <v/>
      </c>
      <c r="N12" s="138">
        <f>IF(OR(L12="",L12="PENDING"),"",IF(L12="P",0,IF(L12="L",-J12,IF(G12&lt;0,J12*100/ABS(G12),J12*G12/100))))</f>
        <v/>
      </c>
      <c r="O12" s="137">
        <f>IF(OR(L12="",L12="PENDING"),"",IF(L12="P",0,M12-I12))</f>
        <v/>
      </c>
      <c r="P12" s="132" t="n"/>
      <c r="Q12" s="90" t="n"/>
    </row>
    <row r="13" ht="27.75" customHeight="1" s="91">
      <c r="A13" s="139">
        <f>IF(C13="","",ROW()-7)</f>
        <v/>
      </c>
      <c r="B13" s="147" t="n"/>
      <c r="C13" s="147" t="n"/>
      <c r="D13" s="148" t="n"/>
      <c r="E13" s="148" t="n"/>
      <c r="F13" s="147" t="n"/>
      <c r="G13" s="149" t="n"/>
      <c r="H13" s="147" t="n"/>
      <c r="I13" s="150" t="n"/>
      <c r="J13" s="151" t="n"/>
      <c r="K13" s="148" t="n"/>
      <c r="L13" s="147" t="n"/>
      <c r="M13" s="145">
        <f>IF(OR(L13="",L13="PENDING"),"",IF(L13="P",I13,IF(L13="L",0,IF(G13&lt;0,I13+I13*100/ABS(G13),I13+I13*G13/100))))</f>
        <v/>
      </c>
      <c r="N13" s="146">
        <f>IF(OR(L13="",L13="PENDING"),"",IF(L13="P",0,IF(L13="L",-J13,IF(G13&lt;0,J13*100/ABS(G13),J13*G13/100))))</f>
        <v/>
      </c>
      <c r="O13" s="145">
        <f>IF(OR(L13="",L13="PENDING"),"",IF(L13="P",0,M13-I13))</f>
        <v/>
      </c>
      <c r="P13" s="147" t="n"/>
      <c r="Q13" s="90" t="n"/>
    </row>
    <row r="14" ht="27.75" customHeight="1" s="91">
      <c r="A14" s="131">
        <f>IF(C14="","",ROW()-7)</f>
        <v/>
      </c>
      <c r="B14" s="132" t="n"/>
      <c r="C14" s="132" t="n"/>
      <c r="D14" s="133" t="n"/>
      <c r="E14" s="133" t="n"/>
      <c r="F14" s="132" t="n"/>
      <c r="G14" s="134" t="n"/>
      <c r="H14" s="132" t="n"/>
      <c r="I14" s="135" t="n"/>
      <c r="J14" s="136" t="n"/>
      <c r="K14" s="133" t="n"/>
      <c r="L14" s="132" t="n"/>
      <c r="M14" s="137">
        <f>IF(OR(L14="",L14="PENDING"),"",IF(L14="P",I14,IF(L14="L",0,IF(G14&lt;0,I14+I14*100/ABS(G14),I14+I14*G14/100))))</f>
        <v/>
      </c>
      <c r="N14" s="138">
        <f>IF(OR(L14="",L14="PENDING"),"",IF(L14="P",0,IF(L14="L",-J14,IF(G14&lt;0,J14*100/ABS(G14),J14*G14/100))))</f>
        <v/>
      </c>
      <c r="O14" s="137">
        <f>IF(OR(L14="",L14="PENDING"),"",IF(L14="P",0,M14-I14))</f>
        <v/>
      </c>
      <c r="P14" s="132" t="n"/>
      <c r="Q14" s="90" t="n"/>
    </row>
    <row r="15" ht="27.75" customHeight="1" s="91">
      <c r="A15" s="139">
        <f>IF(C15="","",ROW()-7)</f>
        <v/>
      </c>
      <c r="B15" s="140" t="n"/>
      <c r="C15" s="140" t="n"/>
      <c r="D15" s="141" t="n"/>
      <c r="E15" s="141" t="n"/>
      <c r="F15" s="140" t="n"/>
      <c r="G15" s="142" t="n"/>
      <c r="H15" s="140" t="n"/>
      <c r="I15" s="143" t="n"/>
      <c r="J15" s="144" t="n"/>
      <c r="K15" s="141" t="n"/>
      <c r="L15" s="140" t="n"/>
      <c r="M15" s="145">
        <f>IF(OR(L15="",L15="PENDING"),"",IF(L15="P",I15,IF(L15="L",0,IF(G15&lt;0,I15+I15*100/ABS(G15),I15+I15*G15/100))))</f>
        <v/>
      </c>
      <c r="N15" s="146">
        <f>IF(OR(L15="",L15="PENDING"),"",IF(L15="P",0,IF(L15="L",-J15,IF(G15&lt;0,J15*100/ABS(G15),J15*G15/100))))</f>
        <v/>
      </c>
      <c r="O15" s="145">
        <f>IF(OR(L15="",L15="PENDING"),"",IF(L15="P",0,M15-I15))</f>
        <v/>
      </c>
      <c r="P15" s="132" t="n"/>
      <c r="Q15" s="90" t="n"/>
    </row>
    <row r="16" ht="27.75" customHeight="1" s="91">
      <c r="A16" s="131">
        <f>IF(C16="","",ROW()-7)</f>
        <v/>
      </c>
      <c r="B16" s="132" t="n"/>
      <c r="C16" s="132" t="n"/>
      <c r="D16" s="133" t="n"/>
      <c r="E16" s="133" t="n"/>
      <c r="F16" s="132" t="n"/>
      <c r="G16" s="134" t="n"/>
      <c r="H16" s="132" t="n"/>
      <c r="I16" s="135" t="n"/>
      <c r="J16" s="136" t="n"/>
      <c r="K16" s="133" t="n"/>
      <c r="L16" s="132" t="n"/>
      <c r="M16" s="137">
        <f>IF(OR(L16="",L16="PENDING"),"",IF(L16="P",I16,IF(L16="L",0,IF(G16&lt;0,I16+I16*100/ABS(G16),I16+I16*G16/100))))</f>
        <v/>
      </c>
      <c r="N16" s="138">
        <f>IF(OR(L16="",L16="PENDING"),"",IF(L16="P",0,IF(L16="L",-J16,IF(G16&lt;0,J16*100/ABS(G16),J16*G16/100))))</f>
        <v/>
      </c>
      <c r="O16" s="137">
        <f>IF(OR(L16="",L16="PENDING"),"",IF(L16="P",0,M16-I16))</f>
        <v/>
      </c>
      <c r="P16" s="132" t="n"/>
      <c r="Q16" s="90" t="n"/>
    </row>
    <row r="17" ht="27.75" customHeight="1" s="91">
      <c r="A17" s="139">
        <f>IF(C17="","",ROW()-7)</f>
        <v/>
      </c>
      <c r="B17" s="140" t="n"/>
      <c r="C17" s="140" t="n"/>
      <c r="D17" s="141" t="n"/>
      <c r="E17" s="141" t="n"/>
      <c r="F17" s="140" t="n"/>
      <c r="G17" s="142" t="n"/>
      <c r="H17" s="140" t="n"/>
      <c r="I17" s="143" t="n"/>
      <c r="J17" s="144" t="n"/>
      <c r="K17" s="141" t="n"/>
      <c r="L17" s="140" t="n"/>
      <c r="M17" s="145">
        <f>IF(OR(L17="",L17="PENDING"),"",IF(L17="P",I17,IF(L17="L",0,IF(G17&lt;0,I17+I17*100/ABS(G17),I17+I17*G17/100))))</f>
        <v/>
      </c>
      <c r="N17" s="146">
        <f>IF(OR(L17="",L17="PENDING"),"",IF(L17="P",0,IF(L17="L",-J17,IF(G17&lt;0,J17*100/ABS(G17),J17*G17/100))))</f>
        <v/>
      </c>
      <c r="O17" s="145">
        <f>IF(OR(L17="",L17="PENDING"),"",IF(L17="P",0,M17-I17))</f>
        <v/>
      </c>
      <c r="P17" s="132" t="n"/>
      <c r="Q17" s="90" t="n"/>
    </row>
    <row r="18" ht="27.75" customHeight="1" s="91">
      <c r="A18" s="131">
        <f>IF(C18="","",ROW()-7)</f>
        <v/>
      </c>
      <c r="B18" s="132" t="n"/>
      <c r="C18" s="132" t="n"/>
      <c r="D18" s="133" t="n"/>
      <c r="E18" s="133" t="n"/>
      <c r="F18" s="132" t="n"/>
      <c r="G18" s="134" t="n"/>
      <c r="H18" s="132" t="n"/>
      <c r="I18" s="135" t="n"/>
      <c r="J18" s="136" t="n"/>
      <c r="K18" s="133" t="n"/>
      <c r="L18" s="132" t="n"/>
      <c r="M18" s="137">
        <f>IF(OR(L18="",L18="PENDING"),"",IF(L18="P",I18,IF(L18="L",0,IF(G18&lt;0,I18+I18*100/ABS(G18),I18+I18*G18/100))))</f>
        <v/>
      </c>
      <c r="N18" s="138">
        <f>IF(OR(L18="",L18="PENDING"),"",IF(L18="P",0,IF(L18="L",-J18,IF(G18&lt;0,J18*100/ABS(G18),J18*G18/100))))</f>
        <v/>
      </c>
      <c r="O18" s="137">
        <f>IF(OR(L18="",L18="PENDING"),"",IF(L18="P",0,M18-I18))</f>
        <v/>
      </c>
      <c r="P18" s="132" t="n"/>
      <c r="Q18" s="90" t="n"/>
    </row>
    <row r="19" ht="27.75" customHeight="1" s="91">
      <c r="A19" s="139">
        <f>IF(C19="","",ROW()-7)</f>
        <v/>
      </c>
      <c r="B19" s="140" t="n"/>
      <c r="C19" s="140" t="n"/>
      <c r="D19" s="141" t="n"/>
      <c r="E19" s="141" t="n"/>
      <c r="F19" s="140" t="n"/>
      <c r="G19" s="142" t="n"/>
      <c r="H19" s="140" t="n"/>
      <c r="I19" s="143" t="n"/>
      <c r="J19" s="144" t="n"/>
      <c r="K19" s="141" t="n"/>
      <c r="L19" s="140" t="n"/>
      <c r="M19" s="145">
        <f>IF(OR(L19="",L19="PENDING"),"",IF(L19="P",I19,IF(L19="L",0,IF(G19&lt;0,I19+I19*100/ABS(G19),I19+I19*G19/100))))</f>
        <v/>
      </c>
      <c r="N19" s="146">
        <f>IF(OR(L19="",L19="PENDING"),"",IF(L19="P",0,IF(L19="L",-J19,IF(G19&lt;0,J19*100/ABS(G19),J19*G19/100))))</f>
        <v/>
      </c>
      <c r="O19" s="145">
        <f>IF(OR(L19="",L19="PENDING"),"",IF(L19="P",0,M19-I19))</f>
        <v/>
      </c>
      <c r="P19" s="132" t="n"/>
      <c r="Q19" s="90" t="n"/>
    </row>
    <row r="20" ht="27.75" customHeight="1" s="91">
      <c r="A20" s="131">
        <f>IF(C20="","",ROW()-7)</f>
        <v/>
      </c>
      <c r="B20" s="132" t="n"/>
      <c r="C20" s="132" t="n"/>
      <c r="D20" s="133" t="n"/>
      <c r="E20" s="133" t="n"/>
      <c r="F20" s="132" t="n"/>
      <c r="G20" s="134" t="n"/>
      <c r="H20" s="132" t="n"/>
      <c r="I20" s="135" t="n"/>
      <c r="J20" s="136" t="n"/>
      <c r="K20" s="133" t="n"/>
      <c r="L20" s="132" t="n"/>
      <c r="M20" s="137">
        <f>IF(OR(L20="",L20="PENDING"),"",IF(L20="P",I20,IF(L20="L",0,IF(G20&lt;0,I20+I20*100/ABS(G20),I20+I20*G20/100))))</f>
        <v/>
      </c>
      <c r="N20" s="138">
        <f>IF(OR(L20="",L20="PENDING"),"",IF(L20="P",0,IF(L20="L",-J20,IF(G20&lt;0,J20*100/ABS(G20),J20*G20/100))))</f>
        <v/>
      </c>
      <c r="O20" s="137">
        <f>IF(OR(L20="",L20="PENDING"),"",IF(L20="P",0,M20-I20))</f>
        <v/>
      </c>
      <c r="P20" s="132" t="n"/>
      <c r="Q20" s="90" t="n"/>
    </row>
    <row r="21" ht="27.75" customHeight="1" s="91">
      <c r="A21" s="139">
        <f>IF(C21="","",ROW()-7)</f>
        <v/>
      </c>
      <c r="B21" s="140" t="n"/>
      <c r="C21" s="140" t="n"/>
      <c r="D21" s="141" t="n"/>
      <c r="E21" s="141" t="n"/>
      <c r="F21" s="140" t="n"/>
      <c r="G21" s="142" t="n"/>
      <c r="H21" s="140" t="n"/>
      <c r="I21" s="143" t="n"/>
      <c r="J21" s="144" t="n"/>
      <c r="K21" s="141" t="n"/>
      <c r="L21" s="140" t="n"/>
      <c r="M21" s="145">
        <f>IF(OR(L21="",L21="PENDING"),"",IF(L21="P",I21,IF(L21="L",0,IF(G21&lt;0,I21+I21*100/ABS(G21),I21+I21*G21/100))))</f>
        <v/>
      </c>
      <c r="N21" s="146">
        <f>IF(OR(L21="",L21="PENDING"),"",IF(L21="P",0,IF(L21="L",-J21,IF(G21&lt;0,J21*100/ABS(G21),J21*G21/100))))</f>
        <v/>
      </c>
      <c r="O21" s="145">
        <f>IF(OR(L21="",L21="PENDING"),"",IF(L21="P",0,M21-I21))</f>
        <v/>
      </c>
      <c r="P21" s="132" t="n"/>
      <c r="Q21" s="90" t="n"/>
    </row>
    <row r="22" ht="27.75" customHeight="1" s="91">
      <c r="A22" s="131">
        <f>IF(C22="","",ROW()-7)</f>
        <v/>
      </c>
      <c r="B22" s="132" t="n"/>
      <c r="C22" s="132" t="n"/>
      <c r="D22" s="133" t="n"/>
      <c r="E22" s="133" t="n"/>
      <c r="F22" s="132" t="n"/>
      <c r="G22" s="134" t="n"/>
      <c r="H22" s="132" t="n"/>
      <c r="I22" s="135" t="n"/>
      <c r="J22" s="136" t="n"/>
      <c r="K22" s="133" t="n"/>
      <c r="L22" s="132" t="n"/>
      <c r="M22" s="137">
        <f>IF(OR(L22="",L22="PENDING"),"",IF(L22="P",I22,IF(L22="L",0,IF(G22&lt;0,I22+I22*100/ABS(G22),I22+I22*G22/100))))</f>
        <v/>
      </c>
      <c r="N22" s="138">
        <f>IF(OR(L22="",L22="PENDING"),"",IF(L22="P",0,IF(L22="L",-J22,IF(G22&lt;0,J22*100/ABS(G22),J22*G22/100))))</f>
        <v/>
      </c>
      <c r="O22" s="137">
        <f>IF(OR(L22="",L22="PENDING"),"",IF(L22="P",0,M22-I22))</f>
        <v/>
      </c>
      <c r="P22" s="132" t="n"/>
      <c r="Q22" s="90" t="n"/>
    </row>
    <row r="23" ht="27.75" customHeight="1" s="91">
      <c r="A23" s="139">
        <f>IF(C23="","",ROW()-7)</f>
        <v/>
      </c>
      <c r="B23" s="140" t="n"/>
      <c r="C23" s="140" t="n"/>
      <c r="D23" s="141" t="n"/>
      <c r="E23" s="141" t="n"/>
      <c r="F23" s="140" t="n"/>
      <c r="G23" s="142" t="n"/>
      <c r="H23" s="140" t="n"/>
      <c r="I23" s="143" t="n"/>
      <c r="J23" s="144" t="n"/>
      <c r="K23" s="141" t="n"/>
      <c r="L23" s="140" t="n"/>
      <c r="M23" s="145">
        <f>IF(OR(L23="",L23="PENDING"),"",IF(L23="P",I23,IF(L23="L",0,IF(G23&lt;0,I23+I23*100/ABS(G23),I23+I23*G23/100))))</f>
        <v/>
      </c>
      <c r="N23" s="146">
        <f>IF(OR(L23="",L23="PENDING"),"",IF(L23="P",0,IF(L23="L",-J23,IF(G23&lt;0,J23*100/ABS(G23),J23*G23/100))))</f>
        <v/>
      </c>
      <c r="O23" s="145">
        <f>IF(OR(L23="",L23="PENDING"),"",IF(L23="P",0,M23-I23))</f>
        <v/>
      </c>
      <c r="P23" s="132" t="n"/>
      <c r="Q23" s="90" t="n"/>
    </row>
    <row r="24" ht="27.75" customHeight="1" s="91">
      <c r="A24" s="131">
        <f>IF(C24="","",ROW()-7)</f>
        <v/>
      </c>
      <c r="B24" s="132" t="n"/>
      <c r="C24" s="132" t="n"/>
      <c r="D24" s="133" t="n"/>
      <c r="E24" s="133" t="n"/>
      <c r="F24" s="132" t="n"/>
      <c r="G24" s="134" t="n"/>
      <c r="H24" s="132" t="n"/>
      <c r="I24" s="135" t="n"/>
      <c r="J24" s="136" t="n"/>
      <c r="K24" s="133" t="n"/>
      <c r="L24" s="132" t="n"/>
      <c r="M24" s="137">
        <f>IF(OR(L24="",L24="PENDING"),"",IF(L24="P",I24,IF(L24="L",0,IF(G24&lt;0,I24+I24*100/ABS(G24),I24+I24*G24/100))))</f>
        <v/>
      </c>
      <c r="N24" s="138">
        <f>IF(OR(L24="",L24="PENDING"),"",IF(L24="P",0,IF(L24="L",-J24,IF(G24&lt;0,J24*100/ABS(G24),J24*G24/100))))</f>
        <v/>
      </c>
      <c r="O24" s="137">
        <f>IF(OR(L24="",L24="PENDING"),"",IF(L24="P",0,M24-I24))</f>
        <v/>
      </c>
      <c r="P24" s="132" t="n"/>
    </row>
    <row r="25" ht="27.75" customHeight="1" s="91">
      <c r="A25" s="139">
        <f>IF(C25="","",ROW()-7)</f>
        <v/>
      </c>
      <c r="B25" s="140" t="n"/>
      <c r="C25" s="140" t="n"/>
      <c r="D25" s="141" t="n"/>
      <c r="E25" s="141" t="n"/>
      <c r="F25" s="140" t="n"/>
      <c r="G25" s="142" t="n"/>
      <c r="H25" s="140" t="n"/>
      <c r="I25" s="143" t="n"/>
      <c r="J25" s="144" t="n"/>
      <c r="K25" s="141" t="n"/>
      <c r="L25" s="140" t="n"/>
      <c r="M25" s="145">
        <f>IF(OR(L25="",L25="PENDING"),"",IF(L25="P",I25,IF(L25="L",0,IF(G25&lt;0,I25+I25*100/ABS(G25),I25+I25*G25/100))))</f>
        <v/>
      </c>
      <c r="N25" s="146">
        <f>IF(OR(L25="",L25="PENDING"),"",IF(L25="P",0,IF(L25="L",-J25,IF(G25&lt;0,J25*100/ABS(G25),J25*G25/100))))</f>
        <v/>
      </c>
      <c r="O25" s="145">
        <f>IF(OR(L25="",L25="PENDING"),"",IF(L25="P",0,M25-I25))</f>
        <v/>
      </c>
      <c r="P25" s="132" t="n"/>
    </row>
    <row r="26" ht="27.75" customHeight="1" s="91">
      <c r="A26" s="131">
        <f>IF(C26="","",ROW()-7)</f>
        <v/>
      </c>
      <c r="B26" s="132" t="n"/>
      <c r="C26" s="132" t="n"/>
      <c r="D26" s="133" t="n"/>
      <c r="E26" s="133" t="n"/>
      <c r="F26" s="132" t="n"/>
      <c r="G26" s="134" t="n"/>
      <c r="H26" s="132" t="n"/>
      <c r="I26" s="135" t="n"/>
      <c r="J26" s="136" t="n"/>
      <c r="K26" s="133" t="n"/>
      <c r="L26" s="132" t="n"/>
      <c r="M26" s="137">
        <f>IF(OR(L26="",L26="PENDING"),"",IF(L26="P",I26,IF(L26="L",0,IF(G26&lt;0,I26+I26*100/ABS(G26),I26+I26*G26/100))))</f>
        <v/>
      </c>
      <c r="N26" s="138">
        <f>IF(OR(L26="",L26="PENDING"),"",IF(L26="P",0,IF(L26="L",-J26,IF(G26&lt;0,J26*100/ABS(G26),J26*G26/100))))</f>
        <v/>
      </c>
      <c r="O26" s="137">
        <f>IF(OR(L26="",L26="PENDING"),"",IF(L26="P",0,M26-I26))</f>
        <v/>
      </c>
      <c r="P26" s="132" t="n"/>
    </row>
    <row r="27" ht="18" customHeight="1" s="91">
      <c r="A27" s="140" t="n">
        <v>20</v>
      </c>
      <c r="B27" s="140" t="n"/>
      <c r="C27" s="140" t="n"/>
      <c r="D27" s="141" t="n"/>
      <c r="E27" s="141" t="n"/>
      <c r="F27" s="140" t="n"/>
      <c r="G27" s="142" t="n"/>
      <c r="H27" s="140" t="n"/>
      <c r="I27" s="143" t="n"/>
      <c r="J27" s="144" t="n"/>
      <c r="K27" s="141" t="n"/>
      <c r="L27" s="140" t="n"/>
      <c r="M27" s="152">
        <f>IF(OR(L27="",L27="PENDING"),"",IF(L27="P",I27,IF(L27="L",0,IF(G27&lt;0,I27+I27*100/ABS(G27),I27+I27*G27/100))))</f>
        <v/>
      </c>
      <c r="N27" s="153">
        <f>IF(OR(L27="",L27="PENDING"),"",IF(L27="P",0,IF(L27="L",-J27,IF(G27&lt;0,J27*100/ABS(G27),J27*G27/100))))</f>
        <v/>
      </c>
      <c r="O27" s="152">
        <f>IF(OR(L27="",L27="PENDING"),"",IF(L27="P",0,M27-I27))</f>
        <v/>
      </c>
    </row>
    <row r="28" ht="18" customHeight="1" s="91">
      <c r="A28" s="140" t="n">
        <v>21</v>
      </c>
      <c r="B28" s="140" t="n"/>
      <c r="C28" s="140" t="n"/>
      <c r="D28" s="141" t="n"/>
      <c r="E28" s="141" t="n"/>
      <c r="F28" s="140" t="n"/>
      <c r="G28" s="142" t="n"/>
      <c r="H28" s="140" t="n"/>
      <c r="I28" s="143" t="n"/>
      <c r="J28" s="144" t="n"/>
      <c r="K28" s="141" t="n"/>
      <c r="L28" s="140" t="n"/>
      <c r="M28" s="152">
        <f>IF(OR(L28="",L28="PENDING"),"",IF(L28="P",I28,IF(L28="L",0,IF(G28&lt;0,I28+I28*100/ABS(G28),I28+I28*G28/100))))</f>
        <v/>
      </c>
      <c r="N28" s="153">
        <f>IF(OR(L28="",L28="PENDING"),"",IF(L28="P",0,IF(L28="L",-J28,IF(G28&lt;0,J28*100/ABS(G28),J28*G28/100))))</f>
        <v/>
      </c>
      <c r="O28" s="152">
        <f>IF(OR(L28="",L28="PENDING"),"",IF(L28="P",0,M28-I28))</f>
        <v/>
      </c>
    </row>
    <row r="29" ht="18" customHeight="1" s="91">
      <c r="A29" s="140" t="n">
        <v>22</v>
      </c>
      <c r="B29" s="140" t="n"/>
      <c r="C29" s="140" t="n"/>
      <c r="D29" s="141" t="n"/>
      <c r="E29" s="141" t="n"/>
      <c r="F29" s="140" t="n"/>
      <c r="G29" s="142" t="n"/>
      <c r="H29" s="140" t="n"/>
      <c r="I29" s="143" t="n"/>
      <c r="J29" s="144" t="n"/>
      <c r="K29" s="141" t="n"/>
      <c r="L29" s="140" t="n"/>
      <c r="M29" s="152">
        <f>IF(OR(L29="",L29="PENDING"),"",IF(L29="P",I29,IF(L29="L",0,IF(G29&lt;0,I29+I29*100/ABS(G29),I29+I29*G29/100))))</f>
        <v/>
      </c>
      <c r="N29" s="153">
        <f>IF(OR(L29="",L29="PENDING"),"",IF(L29="P",0,IF(L29="L",-J29,IF(G29&lt;0,J29*100/ABS(G29),J29*G29/100))))</f>
        <v/>
      </c>
      <c r="O29" s="152">
        <f>IF(OR(L29="",L29="PENDING"),"",IF(L29="P",0,M29-I29))</f>
        <v/>
      </c>
    </row>
    <row r="30" ht="18" customHeight="1" s="91">
      <c r="A30" s="140" t="n">
        <v>23</v>
      </c>
      <c r="B30" s="140" t="n"/>
      <c r="C30" s="140" t="n"/>
      <c r="D30" s="141" t="n"/>
      <c r="E30" s="141" t="n"/>
      <c r="F30" s="140" t="n"/>
      <c r="G30" s="142" t="n"/>
      <c r="H30" s="140" t="n"/>
      <c r="I30" s="143" t="n"/>
      <c r="J30" s="144" t="n"/>
      <c r="K30" s="141" t="n"/>
      <c r="L30" s="140" t="n"/>
      <c r="M30" s="152">
        <f>IF(OR(L30="",L30="PENDING"),"",IF(L30="P",I30,IF(L30="L",0,IF(G30&lt;0,I30+I30*100/ABS(G30),I30+I30*G30/100))))</f>
        <v/>
      </c>
      <c r="N30" s="153">
        <f>IF(OR(L30="",L30="PENDING"),"",IF(L30="P",0,IF(L30="L",-J30,IF(G30&lt;0,J30*100/ABS(G30),J30*G30/100))))</f>
        <v/>
      </c>
      <c r="O30" s="152">
        <f>IF(OR(L30="",L30="PENDING"),"",IF(L30="P",0,M30-I30))</f>
        <v/>
      </c>
    </row>
    <row r="31" ht="18" customHeight="1" s="91">
      <c r="A31" s="140" t="n">
        <v>24</v>
      </c>
      <c r="B31" s="140" t="n"/>
      <c r="C31" s="140" t="n"/>
      <c r="D31" s="141" t="n"/>
      <c r="E31" s="141" t="n"/>
      <c r="F31" s="140" t="n"/>
      <c r="G31" s="142" t="n"/>
      <c r="H31" s="140" t="n"/>
      <c r="I31" s="143" t="n"/>
      <c r="J31" s="144" t="n"/>
      <c r="K31" s="141" t="n"/>
      <c r="L31" s="140" t="n"/>
      <c r="M31" s="152">
        <f>IF(OR(L31="",L31="PENDING"),"",IF(L31="P",I31,IF(L31="L",0,IF(G31&lt;0,I31+I31*100/ABS(G31),I31+I31*G31/100))))</f>
        <v/>
      </c>
      <c r="N31" s="153">
        <f>IF(OR(L31="",L31="PENDING"),"",IF(L31="P",0,IF(L31="L",-J31,IF(G31&lt;0,J31*100/ABS(G31),J31*G31/100))))</f>
        <v/>
      </c>
      <c r="O31" s="152">
        <f>IF(OR(L31="",L31="PENDING"),"",IF(L31="P",0,M31-I31))</f>
        <v/>
      </c>
    </row>
    <row r="32" ht="18" customHeight="1" s="91">
      <c r="A32" s="140" t="n">
        <v>25</v>
      </c>
      <c r="B32" s="140" t="n"/>
      <c r="C32" s="140" t="n"/>
      <c r="D32" s="141" t="n"/>
      <c r="E32" s="141" t="n"/>
      <c r="F32" s="140" t="n"/>
      <c r="G32" s="142" t="n"/>
      <c r="H32" s="140" t="n"/>
      <c r="I32" s="143" t="n"/>
      <c r="J32" s="144" t="n"/>
      <c r="K32" s="141" t="n"/>
      <c r="L32" s="140" t="n"/>
      <c r="M32" s="152">
        <f>IF(OR(L32="",L32="PENDING"),"",IF(L32="P",I32,IF(L32="L",0,IF(G32&lt;0,I32+I32*100/ABS(G32),I32+I32*G32/100))))</f>
        <v/>
      </c>
      <c r="N32" s="153">
        <f>IF(OR(L32="",L32="PENDING"),"",IF(L32="P",0,IF(L32="L",-J32,IF(G32&lt;0,J32*100/ABS(G32),J32*G32/100))))</f>
        <v/>
      </c>
      <c r="O32" s="152">
        <f>IF(OR(L32="",L32="PENDING"),"",IF(L32="P",0,M32-I32))</f>
        <v/>
      </c>
    </row>
    <row r="33" ht="18" customHeight="1" s="91">
      <c r="A33" s="140" t="n">
        <v>26</v>
      </c>
      <c r="B33" s="140" t="n"/>
      <c r="C33" s="140" t="n"/>
      <c r="D33" s="141" t="n"/>
      <c r="E33" s="141" t="n"/>
      <c r="F33" s="140" t="n"/>
      <c r="G33" s="142" t="n"/>
      <c r="H33" s="140" t="n"/>
      <c r="I33" s="143" t="n"/>
      <c r="J33" s="144" t="n"/>
      <c r="K33" s="141" t="n"/>
      <c r="L33" s="140" t="n"/>
      <c r="M33" s="152">
        <f>IF(OR(L33="",L33="PENDING"),"",IF(L33="P",I33,IF(L33="L",0,IF(G33&lt;0,I33+I33*100/ABS(G33),I33+I33*G33/100))))</f>
        <v/>
      </c>
      <c r="N33" s="153">
        <f>IF(OR(L33="",L33="PENDING"),"",IF(L33="P",0,IF(L33="L",-J33,IF(G33&lt;0,J33*100/ABS(G33),J33*G33/100))))</f>
        <v/>
      </c>
      <c r="O33" s="152">
        <f>IF(OR(L33="",L33="PENDING"),"",IF(L33="P",0,M33-I33))</f>
        <v/>
      </c>
    </row>
    <row r="34" ht="18" customHeight="1" s="91">
      <c r="A34" s="140" t="n">
        <v>27</v>
      </c>
      <c r="B34" s="140" t="n"/>
      <c r="C34" s="140" t="n"/>
      <c r="D34" s="141" t="n"/>
      <c r="E34" s="141" t="n"/>
      <c r="F34" s="140" t="n"/>
      <c r="G34" s="142" t="n"/>
      <c r="H34" s="140" t="n"/>
      <c r="I34" s="143" t="n"/>
      <c r="J34" s="144" t="n"/>
      <c r="K34" s="141" t="n"/>
      <c r="L34" s="140" t="n"/>
      <c r="M34" s="152">
        <f>IF(OR(L34="",L34="PENDING"),"",IF(L34="P",I34,IF(L34="L",0,IF(G34&lt;0,I34+I34*100/ABS(G34),I34+I34*G34/100))))</f>
        <v/>
      </c>
      <c r="N34" s="153">
        <f>IF(OR(L34="",L34="PENDING"),"",IF(L34="P",0,IF(L34="L",-J34,IF(G34&lt;0,J34*100/ABS(G34),J34*G34/100))))</f>
        <v/>
      </c>
      <c r="O34" s="152">
        <f>IF(OR(L34="",L34="PENDING"),"",IF(L34="P",0,M34-I34))</f>
        <v/>
      </c>
    </row>
    <row r="35" ht="18" customHeight="1" s="91">
      <c r="A35" s="140" t="n">
        <v>28</v>
      </c>
      <c r="B35" s="140" t="n"/>
      <c r="C35" s="140" t="n"/>
      <c r="D35" s="141" t="n"/>
      <c r="E35" s="141" t="n"/>
      <c r="F35" s="140" t="n"/>
      <c r="G35" s="142" t="n"/>
      <c r="H35" s="140" t="n"/>
      <c r="I35" s="143" t="n"/>
      <c r="J35" s="144" t="n"/>
      <c r="K35" s="141" t="n"/>
      <c r="L35" s="140" t="n"/>
      <c r="M35" s="152">
        <f>IF(OR(L35="",L35="PENDING"),"",IF(L35="P",I35,IF(L35="L",0,IF(G35&lt;0,I35+I35*100/ABS(G35),I35+I35*G35/100))))</f>
        <v/>
      </c>
      <c r="N35" s="153">
        <f>IF(OR(L35="",L35="PENDING"),"",IF(L35="P",0,IF(L35="L",-J35,IF(G35&lt;0,J35*100/ABS(G35),J35*G35/100))))</f>
        <v/>
      </c>
      <c r="O35" s="152">
        <f>IF(OR(L35="",L35="PENDING"),"",IF(L35="P",0,M35-I35))</f>
        <v/>
      </c>
    </row>
    <row r="36" ht="18" customHeight="1" s="91">
      <c r="A36" s="131">
        <f>IF(C36="","",ROW()-7)</f>
        <v/>
      </c>
      <c r="B36" s="132" t="n"/>
      <c r="C36" s="132" t="n"/>
      <c r="D36" s="133" t="n"/>
      <c r="E36" s="133" t="n"/>
      <c r="F36" s="132" t="n"/>
      <c r="G36" s="134" t="n"/>
      <c r="H36" s="132" t="n"/>
      <c r="I36" s="135" t="n"/>
      <c r="J36" s="136" t="n"/>
      <c r="K36" s="132" t="n"/>
      <c r="L36" s="132" t="n"/>
      <c r="M36" s="137">
        <f>IF(OR(L36="",L36="PENDING"),"",IF(L36="P",I36,IF(L36="L",0,IF(G36&lt;0,I36+I36*100/ABS(G36),I36+I36*G36/100))))</f>
        <v/>
      </c>
      <c r="N36" s="138">
        <f>IF(OR(L36="",L36="PENDING"),"",IF(L36="P",0,IF(L36="L",-J36,IF(G36&lt;0,J36*100/ABS(G36),J36*G36/100))))</f>
        <v/>
      </c>
      <c r="O36" s="137">
        <f>IF(OR(L36="",L36="PENDING"),"",IF(L36="P",0,M36-I36))</f>
        <v/>
      </c>
    </row>
    <row r="37" ht="18" customHeight="1" s="91">
      <c r="A37" s="139">
        <f>IF(C37="","",ROW()-7)</f>
        <v/>
      </c>
      <c r="B37" s="140" t="n"/>
      <c r="C37" s="140" t="n"/>
      <c r="D37" s="141" t="n"/>
      <c r="E37" s="141" t="n"/>
      <c r="F37" s="140" t="n"/>
      <c r="G37" s="142" t="n"/>
      <c r="H37" s="140" t="n"/>
      <c r="I37" s="143" t="n"/>
      <c r="J37" s="144" t="n"/>
      <c r="K37" s="140" t="n"/>
      <c r="L37" s="140" t="n"/>
      <c r="M37" s="145">
        <f>IF(OR(L37="",L37="PENDING"),"",IF(L37="P",I37,IF(L37="L",0,IF(G37&lt;0,I37+I37*100/ABS(G37),I37+I37*G37/100))))</f>
        <v/>
      </c>
      <c r="N37" s="146">
        <f>IF(OR(L37="",L37="PENDING"),"",IF(L37="P",0,IF(L37="L",-J37,IF(G37&lt;0,J37*100/ABS(G37),J37*G37/100))))</f>
        <v/>
      </c>
      <c r="O37" s="145">
        <f>IF(OR(L37="",L37="PENDING"),"",IF(L37="P",0,M37-I37))</f>
        <v/>
      </c>
    </row>
    <row r="38" ht="18" customHeight="1" s="91">
      <c r="A38" s="131">
        <f>IF(C38="","",ROW()-7)</f>
        <v/>
      </c>
      <c r="B38" s="132" t="n"/>
      <c r="C38" s="132" t="n"/>
      <c r="D38" s="133" t="n"/>
      <c r="E38" s="133" t="n"/>
      <c r="F38" s="132" t="n"/>
      <c r="G38" s="134" t="n"/>
      <c r="H38" s="132" t="n"/>
      <c r="I38" s="135" t="n"/>
      <c r="J38" s="136" t="n"/>
      <c r="K38" s="132" t="n"/>
      <c r="L38" s="132" t="n"/>
      <c r="M38" s="137">
        <f>IF(OR(L38="",L38="PENDING"),"",IF(L38="P",I38,IF(L38="L",0,IF(G38&lt;0,I38+I38*100/ABS(G38),I38+I38*G38/100))))</f>
        <v/>
      </c>
      <c r="N38" s="138">
        <f>IF(OR(L38="",L38="PENDING"),"",IF(L38="P",0,IF(L38="L",-J38,IF(G38&lt;0,J38*100/ABS(G38),J38*G38/100))))</f>
        <v/>
      </c>
      <c r="O38" s="137">
        <f>IF(OR(L38="",L38="PENDING"),"",IF(L38="P",0,M38-I38))</f>
        <v/>
      </c>
    </row>
    <row r="39" ht="18" customHeight="1" s="91">
      <c r="A39" s="139">
        <f>IF(C39="","",ROW()-7)</f>
        <v/>
      </c>
      <c r="B39" s="140" t="n"/>
      <c r="C39" s="140" t="n"/>
      <c r="D39" s="141" t="n"/>
      <c r="E39" s="141" t="n"/>
      <c r="F39" s="140" t="n"/>
      <c r="G39" s="142" t="n"/>
      <c r="H39" s="140" t="n"/>
      <c r="I39" s="143" t="n"/>
      <c r="J39" s="144" t="n"/>
      <c r="K39" s="140" t="n"/>
      <c r="L39" s="140" t="n"/>
      <c r="M39" s="145">
        <f>IF(OR(L39="",L39="PENDING"),"",IF(L39="P",I39,IF(L39="L",0,IF(G39&lt;0,I39+I39*100/ABS(G39),I39+I39*G39/100))))</f>
        <v/>
      </c>
      <c r="N39" s="146">
        <f>IF(OR(L39="",L39="PENDING"),"",IF(L39="P",0,IF(L39="L",-J39,IF(G39&lt;0,J39*100/ABS(G39),J39*G39/100))))</f>
        <v/>
      </c>
      <c r="O39" s="145">
        <f>IF(OR(L39="",L39="PENDING"),"",IF(L39="P",0,M39-I39))</f>
        <v/>
      </c>
    </row>
    <row r="40" ht="18" customHeight="1" s="91">
      <c r="A40" s="131">
        <f>IF(C40="","",ROW()-7)</f>
        <v/>
      </c>
      <c r="B40" s="132" t="n"/>
      <c r="C40" s="132" t="n"/>
      <c r="D40" s="133" t="n"/>
      <c r="E40" s="133" t="n"/>
      <c r="F40" s="132" t="n"/>
      <c r="G40" s="134" t="n"/>
      <c r="H40" s="132" t="n"/>
      <c r="I40" s="135" t="n"/>
      <c r="J40" s="136" t="n"/>
      <c r="K40" s="132" t="n"/>
      <c r="L40" s="132" t="n"/>
      <c r="M40" s="137">
        <f>IF(OR(L40="",L40="PENDING"),"",IF(L40="P",I40,IF(L40="L",0,IF(G40&lt;0,I40+I40*100/ABS(G40),I40+I40*G40/100))))</f>
        <v/>
      </c>
      <c r="N40" s="138">
        <f>IF(OR(L40="",L40="PENDING"),"",IF(L40="P",0,IF(L40="L",-J40,IF(G40&lt;0,J40*100/ABS(G40),J40*G40/100))))</f>
        <v/>
      </c>
      <c r="O40" s="137">
        <f>IF(OR(L40="",L40="PENDING"),"",IF(L40="P",0,M40-I40))</f>
        <v/>
      </c>
    </row>
    <row r="41" ht="18" customHeight="1" s="91">
      <c r="A41" s="139">
        <f>IF(C41="","",ROW()-7)</f>
        <v/>
      </c>
      <c r="B41" s="140" t="n"/>
      <c r="C41" s="140" t="n"/>
      <c r="D41" s="141" t="n"/>
      <c r="E41" s="141" t="n"/>
      <c r="F41" s="140" t="n"/>
      <c r="G41" s="142" t="n"/>
      <c r="H41" s="140" t="n"/>
      <c r="I41" s="143" t="n"/>
      <c r="J41" s="144" t="n"/>
      <c r="K41" s="140" t="n"/>
      <c r="L41" s="140" t="n"/>
      <c r="M41" s="145">
        <f>IF(OR(L41="",L41="PENDING"),"",IF(L41="P",I41,IF(L41="L",0,IF(G41&lt;0,I41+I41*100/ABS(G41),I41+I41*G41/100))))</f>
        <v/>
      </c>
      <c r="N41" s="146">
        <f>IF(OR(L41="",L41="PENDING"),"",IF(L41="P",0,IF(L41="L",-J41,IF(G41&lt;0,J41*100/ABS(G41),J41*G41/100))))</f>
        <v/>
      </c>
      <c r="O41" s="145">
        <f>IF(OR(L41="",L41="PENDING"),"",IF(L41="P",0,M41-I41))</f>
        <v/>
      </c>
    </row>
    <row r="42" ht="18" customHeight="1" s="91">
      <c r="A42" s="131">
        <f>IF(C42="","",ROW()-7)</f>
        <v/>
      </c>
      <c r="B42" s="132" t="n"/>
      <c r="C42" s="132" t="n"/>
      <c r="D42" s="133" t="n"/>
      <c r="E42" s="133" t="n"/>
      <c r="F42" s="132" t="n"/>
      <c r="G42" s="134" t="n"/>
      <c r="H42" s="132" t="n"/>
      <c r="I42" s="135" t="n"/>
      <c r="J42" s="136" t="n"/>
      <c r="K42" s="132" t="n"/>
      <c r="L42" s="132" t="n"/>
      <c r="M42" s="137">
        <f>IF(OR(L42="",L42="PENDING"),"",IF(L42="P",I42,IF(L42="L",0,IF(G42&lt;0,I42+I42*100/ABS(G42),I42+I42*G42/100))))</f>
        <v/>
      </c>
      <c r="N42" s="138">
        <f>IF(OR(L42="",L42="PENDING"),"",IF(L42="P",0,IF(L42="L",-J42,IF(G42&lt;0,J42*100/ABS(G42),J42*G42/100))))</f>
        <v/>
      </c>
      <c r="O42" s="137">
        <f>IF(OR(L42="",L42="PENDING"),"",IF(L42="P",0,M42-I42))</f>
        <v/>
      </c>
    </row>
    <row r="43" ht="18" customHeight="1" s="91">
      <c r="A43" s="139">
        <f>IF(C43="","",ROW()-7)</f>
        <v/>
      </c>
      <c r="B43" s="140" t="n"/>
      <c r="C43" s="140" t="n"/>
      <c r="D43" s="141" t="n"/>
      <c r="E43" s="141" t="n"/>
      <c r="F43" s="140" t="n"/>
      <c r="G43" s="142" t="n"/>
      <c r="H43" s="140" t="n"/>
      <c r="I43" s="143" t="n"/>
      <c r="J43" s="144" t="n"/>
      <c r="K43" s="140" t="n"/>
      <c r="L43" s="140" t="n"/>
      <c r="M43" s="145">
        <f>IF(OR(L43="",L43="PENDING"),"",IF(L43="P",I43,IF(L43="L",0,IF(G43&lt;0,I43+I43*100/ABS(G43),I43+I43*G43/100))))</f>
        <v/>
      </c>
      <c r="N43" s="146">
        <f>IF(OR(L43="",L43="PENDING"),"",IF(L43="P",0,IF(L43="L",-J43,IF(G43&lt;0,J43*100/ABS(G43),J43*G43/100))))</f>
        <v/>
      </c>
      <c r="O43" s="145">
        <f>IF(OR(L43="",L43="PENDING"),"",IF(L43="P",0,M43-I43))</f>
        <v/>
      </c>
    </row>
    <row r="44" ht="18" customHeight="1" s="91">
      <c r="A44" s="131">
        <f>IF(C44="","",ROW()-7)</f>
        <v/>
      </c>
      <c r="B44" s="132" t="n"/>
      <c r="C44" s="132" t="n"/>
      <c r="D44" s="133" t="n"/>
      <c r="E44" s="133" t="n"/>
      <c r="F44" s="132" t="n"/>
      <c r="G44" s="134" t="n"/>
      <c r="H44" s="132" t="n"/>
      <c r="I44" s="135" t="n"/>
      <c r="J44" s="136" t="n"/>
      <c r="K44" s="132" t="n"/>
      <c r="L44" s="132" t="n"/>
      <c r="M44" s="137">
        <f>IF(OR(L44="",L44="PENDING"),"",IF(L44="P",I44,IF(L44="L",0,IF(G44&lt;0,I44+I44*100/ABS(G44),I44+I44*G44/100))))</f>
        <v/>
      </c>
      <c r="N44" s="138">
        <f>IF(OR(L44="",L44="PENDING"),"",IF(L44="P",0,IF(L44="L",-J44,IF(G44&lt;0,J44*100/ABS(G44),J44*G44/100))))</f>
        <v/>
      </c>
      <c r="O44" s="137">
        <f>IF(OR(L44="",L44="PENDING"),"",IF(L44="P",0,M44-I44))</f>
        <v/>
      </c>
    </row>
    <row r="45" ht="18" customHeight="1" s="91">
      <c r="A45" s="139">
        <f>IF(C45="","",ROW()-7)</f>
        <v/>
      </c>
      <c r="B45" s="140" t="n"/>
      <c r="C45" s="140" t="n"/>
      <c r="D45" s="141" t="n"/>
      <c r="E45" s="141" t="n"/>
      <c r="F45" s="140" t="n"/>
      <c r="G45" s="142" t="n"/>
      <c r="H45" s="140" t="n"/>
      <c r="I45" s="143" t="n"/>
      <c r="J45" s="144" t="n"/>
      <c r="K45" s="140" t="n"/>
      <c r="L45" s="140" t="n"/>
      <c r="M45" s="145">
        <f>IF(OR(L45="",L45="PENDING"),"",IF(L45="P",I45,IF(L45="L",0,IF(G45&lt;0,I45+I45*100/ABS(G45),I45+I45*G45/100))))</f>
        <v/>
      </c>
      <c r="N45" s="146">
        <f>IF(OR(L45="",L45="PENDING"),"",IF(L45="P",0,IF(L45="L",-J45,IF(G45&lt;0,J45*100/ABS(G45),J45*G45/100))))</f>
        <v/>
      </c>
      <c r="O45" s="145">
        <f>IF(OR(L45="",L45="PENDING"),"",IF(L45="P",0,M45-I45))</f>
        <v/>
      </c>
    </row>
    <row r="46" ht="18" customHeight="1" s="91">
      <c r="A46" s="131">
        <f>IF(C46="","",ROW()-7)</f>
        <v/>
      </c>
      <c r="B46" s="132" t="n"/>
      <c r="C46" s="132" t="n"/>
      <c r="D46" s="133" t="n"/>
      <c r="E46" s="133" t="n"/>
      <c r="F46" s="132" t="n"/>
      <c r="G46" s="134" t="n"/>
      <c r="H46" s="132" t="n"/>
      <c r="I46" s="135" t="n"/>
      <c r="J46" s="136" t="n"/>
      <c r="K46" s="132" t="n"/>
      <c r="L46" s="132" t="n"/>
      <c r="M46" s="137">
        <f>IF(OR(L46="",L46="PENDING"),"",IF(L46="P",I46,IF(L46="L",0,IF(G46&lt;0,I46+I46*100/ABS(G46),I46+I46*G46/100))))</f>
        <v/>
      </c>
      <c r="N46" s="138">
        <f>IF(OR(L46="",L46="PENDING"),"",IF(L46="P",0,IF(L46="L",-J46,IF(G46&lt;0,J46*100/ABS(G46),J46*G46/100))))</f>
        <v/>
      </c>
      <c r="O46" s="137">
        <f>IF(OR(L46="",L46="PENDING"),"",IF(L46="P",0,M46-I46))</f>
        <v/>
      </c>
    </row>
    <row r="47" ht="18" customHeight="1" s="91">
      <c r="A47" s="139">
        <f>IF(C47="","",ROW()-7)</f>
        <v/>
      </c>
      <c r="B47" s="140" t="n"/>
      <c r="C47" s="140" t="n"/>
      <c r="D47" s="141" t="n"/>
      <c r="E47" s="141" t="n"/>
      <c r="F47" s="140" t="n"/>
      <c r="G47" s="142" t="n"/>
      <c r="H47" s="140" t="n"/>
      <c r="I47" s="143" t="n"/>
      <c r="J47" s="144" t="n"/>
      <c r="K47" s="140" t="n"/>
      <c r="L47" s="140" t="n"/>
      <c r="M47" s="145">
        <f>IF(OR(L47="",L47="PENDING"),"",IF(L47="P",I47,IF(L47="L",0,IF(G47&lt;0,I47+I47*100/ABS(G47),I47+I47*G47/100))))</f>
        <v/>
      </c>
      <c r="N47" s="146">
        <f>IF(OR(L47="",L47="PENDING"),"",IF(L47="P",0,IF(L47="L",-J47,IF(G47&lt;0,J47*100/ABS(G47),J47*G47/100))))</f>
        <v/>
      </c>
      <c r="O47" s="145">
        <f>IF(OR(L47="",L47="PENDING"),"",IF(L47="P",0,M47-I47))</f>
        <v/>
      </c>
    </row>
    <row r="48" ht="18" customHeight="1" s="91">
      <c r="A48" s="131">
        <f>IF(C48="","",ROW()-7)</f>
        <v/>
      </c>
      <c r="B48" s="132" t="n"/>
      <c r="C48" s="132" t="n"/>
      <c r="D48" s="133" t="n"/>
      <c r="E48" s="133" t="n"/>
      <c r="F48" s="132" t="n"/>
      <c r="G48" s="134" t="n"/>
      <c r="H48" s="132" t="n"/>
      <c r="I48" s="135" t="n"/>
      <c r="J48" s="136" t="n"/>
      <c r="K48" s="132" t="n"/>
      <c r="L48" s="132" t="n"/>
      <c r="M48" s="137">
        <f>IF(OR(L48="",L48="PENDING"),"",IF(L48="P",I48,IF(L48="L",0,IF(G48&lt;0,I48+I48*100/ABS(G48),I48+I48*G48/100))))</f>
        <v/>
      </c>
      <c r="N48" s="138">
        <f>IF(OR(L48="",L48="PENDING"),"",IF(L48="P",0,IF(L48="L",-J48,IF(G48&lt;0,J48*100/ABS(G48),J48*G48/100))))</f>
        <v/>
      </c>
      <c r="O48" s="137">
        <f>IF(OR(L48="",L48="PENDING"),"",IF(L48="P",0,M48-I48))</f>
        <v/>
      </c>
    </row>
    <row r="49" ht="18" customHeight="1" s="91">
      <c r="A49" s="139">
        <f>IF(C49="","",ROW()-7)</f>
        <v/>
      </c>
      <c r="B49" s="140" t="n"/>
      <c r="C49" s="140" t="n"/>
      <c r="D49" s="141" t="n"/>
      <c r="E49" s="141" t="n"/>
      <c r="F49" s="140" t="n"/>
      <c r="G49" s="142" t="n"/>
      <c r="H49" s="140" t="n"/>
      <c r="I49" s="143" t="n"/>
      <c r="J49" s="144" t="n"/>
      <c r="K49" s="140" t="n"/>
      <c r="L49" s="140" t="n"/>
      <c r="M49" s="145">
        <f>IF(OR(L49="",L49="PENDING"),"",IF(L49="P",I49,IF(L49="L",0,IF(G49&lt;0,I49+I49*100/ABS(G49),I49+I49*G49/100))))</f>
        <v/>
      </c>
      <c r="N49" s="146">
        <f>IF(OR(L49="",L49="PENDING"),"",IF(L49="P",0,IF(L49="L",-J49,IF(G49&lt;0,J49*100/ABS(G49),J49*G49/100))))</f>
        <v/>
      </c>
      <c r="O49" s="145">
        <f>IF(OR(L49="",L49="PENDING"),"",IF(L49="P",0,M49-I49))</f>
        <v/>
      </c>
    </row>
    <row r="50" ht="18" customHeight="1" s="91">
      <c r="A50" s="131">
        <f>IF(C50="","",ROW()-7)</f>
        <v/>
      </c>
      <c r="B50" s="132" t="n"/>
      <c r="C50" s="132" t="n"/>
      <c r="D50" s="133" t="n"/>
      <c r="E50" s="133" t="n"/>
      <c r="F50" s="132" t="n"/>
      <c r="G50" s="134" t="n"/>
      <c r="H50" s="132" t="n"/>
      <c r="I50" s="135" t="n"/>
      <c r="J50" s="136" t="n"/>
      <c r="K50" s="132" t="n"/>
      <c r="L50" s="132" t="n"/>
      <c r="M50" s="137">
        <f>IF(OR(L50="",L50="PENDING"),"",IF(L50="P",I50,IF(L50="L",0,IF(G50&lt;0,I50+I50*100/ABS(G50),I50+I50*G50/100))))</f>
        <v/>
      </c>
      <c r="N50" s="138">
        <f>IF(OR(L50="",L50="PENDING"),"",IF(L50="P",0,IF(L50="L",-J50,IF(G50&lt;0,J50*100/ABS(G50),J50*G50/100))))</f>
        <v/>
      </c>
      <c r="O50" s="137">
        <f>IF(OR(L50="",L50="PENDING"),"",IF(L50="P",0,M50-I50))</f>
        <v/>
      </c>
    </row>
    <row r="51" ht="18" customHeight="1" s="91">
      <c r="A51" s="139">
        <f>IF(C51="","",ROW()-7)</f>
        <v/>
      </c>
      <c r="B51" s="140" t="n"/>
      <c r="C51" s="140" t="n"/>
      <c r="D51" s="141" t="n"/>
      <c r="E51" s="141" t="n"/>
      <c r="F51" s="140" t="n"/>
      <c r="G51" s="142" t="n"/>
      <c r="H51" s="140" t="n"/>
      <c r="I51" s="143" t="n"/>
      <c r="J51" s="144" t="n"/>
      <c r="K51" s="140" t="n"/>
      <c r="L51" s="140" t="n"/>
      <c r="M51" s="145">
        <f>IF(OR(L51="",L51="PENDING"),"",IF(L51="P",I51,IF(L51="L",0,IF(G51&lt;0,I51+I51*100/ABS(G51),I51+I51*G51/100))))</f>
        <v/>
      </c>
      <c r="N51" s="146">
        <f>IF(OR(L51="",L51="PENDING"),"",IF(L51="P",0,IF(L51="L",-J51,IF(G51&lt;0,J51*100/ABS(G51),J51*G51/100))))</f>
        <v/>
      </c>
      <c r="O51" s="145">
        <f>IF(OR(L51="",L51="PENDING"),"",IF(L51="P",0,M51-I51))</f>
        <v/>
      </c>
    </row>
    <row r="52" ht="18" customHeight="1" s="91">
      <c r="A52" s="131">
        <f>IF(C52="","",ROW()-7)</f>
        <v/>
      </c>
      <c r="B52" s="132" t="n"/>
      <c r="C52" s="132" t="n"/>
      <c r="D52" s="133" t="n"/>
      <c r="E52" s="133" t="n"/>
      <c r="F52" s="132" t="n"/>
      <c r="G52" s="134" t="n"/>
      <c r="H52" s="132" t="n"/>
      <c r="I52" s="135" t="n"/>
      <c r="J52" s="136" t="n"/>
      <c r="K52" s="132" t="n"/>
      <c r="L52" s="132" t="n"/>
      <c r="M52" s="137">
        <f>IF(OR(L52="",L52="PENDING"),"",IF(L52="P",I52,IF(L52="L",0,IF(G52&lt;0,I52+I52*100/ABS(G52),I52+I52*G52/100))))</f>
        <v/>
      </c>
      <c r="N52" s="138">
        <f>IF(OR(L52="",L52="PENDING"),"",IF(L52="P",0,IF(L52="L",-J52,IF(G52&lt;0,J52*100/ABS(G52),J52*G52/100))))</f>
        <v/>
      </c>
      <c r="O52" s="137">
        <f>IF(OR(L52="",L52="PENDING"),"",IF(L52="P",0,M52-I52))</f>
        <v/>
      </c>
    </row>
    <row r="53" ht="18" customHeight="1" s="91">
      <c r="A53" s="139">
        <f>IF(C53="","",ROW()-7)</f>
        <v/>
      </c>
      <c r="B53" s="140" t="n"/>
      <c r="C53" s="140" t="n"/>
      <c r="D53" s="141" t="n"/>
      <c r="E53" s="141" t="n"/>
      <c r="F53" s="140" t="n"/>
      <c r="G53" s="142" t="n"/>
      <c r="H53" s="140" t="n"/>
      <c r="I53" s="143" t="n"/>
      <c r="J53" s="144" t="n"/>
      <c r="K53" s="140" t="n"/>
      <c r="L53" s="140" t="n"/>
      <c r="M53" s="145">
        <f>IF(OR(L53="",L53="PENDING"),"",IF(L53="P",I53,IF(L53="L",0,IF(G53&lt;0,I53+I53*100/ABS(G53),I53+I53*G53/100))))</f>
        <v/>
      </c>
      <c r="N53" s="146">
        <f>IF(OR(L53="",L53="PENDING"),"",IF(L53="P",0,IF(L53="L",-J53,IF(G53&lt;0,J53*100/ABS(G53),J53*G53/100))))</f>
        <v/>
      </c>
      <c r="O53" s="145">
        <f>IF(OR(L53="",L53="PENDING"),"",IF(L53="P",0,M53-I53))</f>
        <v/>
      </c>
    </row>
    <row r="54" ht="18" customHeight="1" s="91">
      <c r="A54" s="131">
        <f>IF(C54="","",ROW()-7)</f>
        <v/>
      </c>
      <c r="B54" s="132" t="n"/>
      <c r="C54" s="132" t="n"/>
      <c r="D54" s="133" t="n"/>
      <c r="E54" s="133" t="n"/>
      <c r="F54" s="132" t="n"/>
      <c r="G54" s="134" t="n"/>
      <c r="H54" s="132" t="n"/>
      <c r="I54" s="135" t="n"/>
      <c r="J54" s="136" t="n"/>
      <c r="K54" s="132" t="n"/>
      <c r="L54" s="132" t="n"/>
      <c r="M54" s="137">
        <f>IF(OR(L54="",L54="PENDING"),"",IF(L54="P",I54,IF(L54="L",0,IF(G54&lt;0,I54+I54*100/ABS(G54),I54+I54*G54/100))))</f>
        <v/>
      </c>
      <c r="N54" s="138">
        <f>IF(OR(L54="",L54="PENDING"),"",IF(L54="P",0,IF(L54="L",-J54,IF(G54&lt;0,J54*100/ABS(G54),J54*G54/100))))</f>
        <v/>
      </c>
      <c r="O54" s="137">
        <f>IF(OR(L54="",L54="PENDING"),"",IF(L54="P",0,M54-I54))</f>
        <v/>
      </c>
    </row>
    <row r="55" ht="18" customHeight="1" s="91">
      <c r="A55" s="139">
        <f>IF(C55="","",ROW()-7)</f>
        <v/>
      </c>
      <c r="B55" s="140" t="n"/>
      <c r="C55" s="140" t="n"/>
      <c r="D55" s="141" t="n"/>
      <c r="E55" s="141" t="n"/>
      <c r="F55" s="140" t="n"/>
      <c r="G55" s="142" t="n"/>
      <c r="H55" s="140" t="n"/>
      <c r="I55" s="143" t="n"/>
      <c r="J55" s="144" t="n"/>
      <c r="K55" s="140" t="n"/>
      <c r="L55" s="140" t="n"/>
      <c r="M55" s="145">
        <f>IF(OR(L55="",L55="PENDING"),"",IF(L55="P",I55,IF(L55="L",0,IF(G55&lt;0,I55+I55*100/ABS(G55),I55+I55*G55/100))))</f>
        <v/>
      </c>
      <c r="N55" s="146">
        <f>IF(OR(L55="",L55="PENDING"),"",IF(L55="P",0,IF(L55="L",-J55,IF(G55&lt;0,J55*100/ABS(G55),J55*G55/100))))</f>
        <v/>
      </c>
      <c r="O55" s="145">
        <f>IF(OR(L55="",L55="PENDING"),"",IF(L55="P",0,M55-I55))</f>
        <v/>
      </c>
    </row>
    <row r="56" ht="18" customHeight="1" s="91">
      <c r="A56" s="131">
        <f>IF(C56="","",ROW()-7)</f>
        <v/>
      </c>
      <c r="B56" s="132" t="n"/>
      <c r="C56" s="132" t="n"/>
      <c r="D56" s="133" t="n"/>
      <c r="E56" s="133" t="n"/>
      <c r="F56" s="132" t="n"/>
      <c r="G56" s="134" t="n"/>
      <c r="H56" s="132" t="n"/>
      <c r="I56" s="135" t="n"/>
      <c r="J56" s="136" t="n"/>
      <c r="K56" s="132" t="n"/>
      <c r="L56" s="132" t="n"/>
      <c r="M56" s="137">
        <f>IF(OR(L56="",L56="PENDING"),"",IF(L56="P",I56,IF(L56="L",0,IF(G56&lt;0,I56+I56*100/ABS(G56),I56+I56*G56/100))))</f>
        <v/>
      </c>
      <c r="N56" s="138">
        <f>IF(OR(L56="",L56="PENDING"),"",IF(L56="P",0,IF(L56="L",-J56,IF(G56&lt;0,J56*100/ABS(G56),J56*G56/100))))</f>
        <v/>
      </c>
      <c r="O56" s="137">
        <f>IF(OR(L56="",L56="PENDING"),"",IF(L56="P",0,M56-I56))</f>
        <v/>
      </c>
    </row>
    <row r="57" ht="18" customHeight="1" s="91">
      <c r="A57" s="139">
        <f>IF(C57="","",ROW()-7)</f>
        <v/>
      </c>
      <c r="B57" s="140" t="n"/>
      <c r="C57" s="140" t="n"/>
      <c r="D57" s="141" t="n"/>
      <c r="E57" s="141" t="n"/>
      <c r="F57" s="140" t="n"/>
      <c r="G57" s="142" t="n"/>
      <c r="H57" s="140" t="n"/>
      <c r="I57" s="143" t="n"/>
      <c r="J57" s="144" t="n"/>
      <c r="K57" s="140" t="n"/>
      <c r="L57" s="140" t="n"/>
      <c r="M57" s="145">
        <f>IF(OR(L57="",L57="PENDING"),"",IF(L57="P",I57,IF(L57="L",0,IF(G57&lt;0,I57+I57*100/ABS(G57),I57+I57*G57/100))))</f>
        <v/>
      </c>
      <c r="N57" s="146">
        <f>IF(OR(L57="",L57="PENDING"),"",IF(L57="P",0,IF(L57="L",-J57,IF(G57&lt;0,J57*100/ABS(G57),J57*G57/100))))</f>
        <v/>
      </c>
      <c r="O57" s="145">
        <f>IF(OR(L57="",L57="PENDING"),"",IF(L57="P",0,M57-I57))</f>
        <v/>
      </c>
    </row>
    <row r="58" ht="18" customHeight="1" s="91">
      <c r="A58" s="131">
        <f>IF(C58="","",ROW()-7)</f>
        <v/>
      </c>
      <c r="B58" s="132" t="n"/>
      <c r="C58" s="132" t="n"/>
      <c r="D58" s="133" t="n"/>
      <c r="E58" s="133" t="n"/>
      <c r="F58" s="132" t="n"/>
      <c r="G58" s="134" t="n"/>
      <c r="H58" s="132" t="n"/>
      <c r="I58" s="135" t="n"/>
      <c r="J58" s="136" t="n"/>
      <c r="K58" s="132" t="n"/>
      <c r="L58" s="132" t="n"/>
      <c r="M58" s="137">
        <f>IF(OR(L58="",L58="PENDING"),"",IF(L58="P",I58,IF(L58="L",0,IF(G58&lt;0,I58+I58*100/ABS(G58),I58+I58*G58/100))))</f>
        <v/>
      </c>
      <c r="N58" s="138">
        <f>IF(OR(L58="",L58="PENDING"),"",IF(L58="P",0,IF(L58="L",-J58,IF(G58&lt;0,J58*100/ABS(G58),J58*G58/100))))</f>
        <v/>
      </c>
      <c r="O58" s="137">
        <f>IF(OR(L58="",L58="PENDING"),"",IF(L58="P",0,M58-I58))</f>
        <v/>
      </c>
    </row>
    <row r="59" ht="18" customHeight="1" s="91">
      <c r="A59" s="139">
        <f>IF(C59="","",ROW()-7)</f>
        <v/>
      </c>
      <c r="B59" s="140" t="n"/>
      <c r="C59" s="140" t="n"/>
      <c r="D59" s="141" t="n"/>
      <c r="E59" s="141" t="n"/>
      <c r="F59" s="140" t="n"/>
      <c r="G59" s="142" t="n"/>
      <c r="H59" s="140" t="n"/>
      <c r="I59" s="143" t="n"/>
      <c r="J59" s="144" t="n"/>
      <c r="K59" s="140" t="n"/>
      <c r="L59" s="140" t="n"/>
      <c r="M59" s="145">
        <f>IF(OR(L59="",L59="PENDING"),"",IF(L59="P",I59,IF(L59="L",0,IF(G59&lt;0,I59+I59*100/ABS(G59),I59+I59*G59/100))))</f>
        <v/>
      </c>
      <c r="N59" s="146">
        <f>IF(OR(L59="",L59="PENDING"),"",IF(L59="P",0,IF(L59="L",-J59,IF(G59&lt;0,J59*100/ABS(G59),J59*G59/100))))</f>
        <v/>
      </c>
      <c r="O59" s="145">
        <f>IF(OR(L59="",L59="PENDING"),"",IF(L59="P",0,M59-I59))</f>
        <v/>
      </c>
    </row>
    <row r="60" ht="18" customHeight="1" s="91">
      <c r="A60" s="131">
        <f>IF(C60="","",ROW()-7)</f>
        <v/>
      </c>
      <c r="B60" s="132" t="n"/>
      <c r="C60" s="132" t="n"/>
      <c r="D60" s="133" t="n"/>
      <c r="E60" s="133" t="n"/>
      <c r="F60" s="132" t="n"/>
      <c r="G60" s="134" t="n"/>
      <c r="H60" s="132" t="n"/>
      <c r="I60" s="135" t="n"/>
      <c r="J60" s="136" t="n"/>
      <c r="K60" s="132" t="n"/>
      <c r="L60" s="132" t="n"/>
      <c r="M60" s="137">
        <f>IF(OR(L60="",L60="PENDING"),"",IF(L60="P",I60,IF(L60="L",0,IF(G60&lt;0,I60+I60*100/ABS(G60),I60+I60*G60/100))))</f>
        <v/>
      </c>
      <c r="N60" s="138">
        <f>IF(OR(L60="",L60="PENDING"),"",IF(L60="P",0,IF(L60="L",-J60,IF(G60&lt;0,J60*100/ABS(G60),J60*G60/100))))</f>
        <v/>
      </c>
      <c r="O60" s="137">
        <f>IF(OR(L60="",L60="PENDING"),"",IF(L60="P",0,M60-I60))</f>
        <v/>
      </c>
    </row>
    <row r="61" ht="18" customHeight="1" s="91">
      <c r="A61" s="139">
        <f>IF(C61="","",ROW()-7)</f>
        <v/>
      </c>
      <c r="B61" s="140" t="n"/>
      <c r="C61" s="140" t="n"/>
      <c r="D61" s="141" t="n"/>
      <c r="E61" s="141" t="n"/>
      <c r="F61" s="140" t="n"/>
      <c r="G61" s="142" t="n"/>
      <c r="H61" s="140" t="n"/>
      <c r="I61" s="143" t="n"/>
      <c r="J61" s="144" t="n"/>
      <c r="K61" s="140" t="n"/>
      <c r="L61" s="140" t="n"/>
      <c r="M61" s="145">
        <f>IF(OR(L61="",L61="PENDING"),"",IF(L61="P",I61,IF(L61="L",0,IF(G61&lt;0,I61+I61*100/ABS(G61),I61+I61*G61/100))))</f>
        <v/>
      </c>
      <c r="N61" s="146">
        <f>IF(OR(L61="",L61="PENDING"),"",IF(L61="P",0,IF(L61="L",-J61,IF(G61&lt;0,J61*100/ABS(G61),J61*G61/100))))</f>
        <v/>
      </c>
      <c r="O61" s="145">
        <f>IF(OR(L61="",L61="PENDING"),"",IF(L61="P",0,M61-I61))</f>
        <v/>
      </c>
    </row>
    <row r="62" ht="18" customHeight="1" s="91">
      <c r="A62" s="131">
        <f>IF(C62="","",ROW()-7)</f>
        <v/>
      </c>
      <c r="B62" s="132" t="n"/>
      <c r="C62" s="132" t="n"/>
      <c r="D62" s="133" t="n"/>
      <c r="E62" s="133" t="n"/>
      <c r="F62" s="132" t="n"/>
      <c r="G62" s="134" t="n"/>
      <c r="H62" s="132" t="n"/>
      <c r="I62" s="135" t="n"/>
      <c r="J62" s="136" t="n"/>
      <c r="K62" s="132" t="n"/>
      <c r="L62" s="132" t="n"/>
      <c r="M62" s="137">
        <f>IF(OR(L62="",L62="PENDING"),"",IF(L62="P",I62,IF(L62="L",0,IF(G62&lt;0,I62+I62*100/ABS(G62),I62+I62*G62/100))))</f>
        <v/>
      </c>
      <c r="N62" s="138">
        <f>IF(OR(L62="",L62="PENDING"),"",IF(L62="P",0,IF(L62="L",-J62,IF(G62&lt;0,J62*100/ABS(G62),J62*G62/100))))</f>
        <v/>
      </c>
      <c r="O62" s="137">
        <f>IF(OR(L62="",L62="PENDING"),"",IF(L62="P",0,M62-I62))</f>
        <v/>
      </c>
    </row>
    <row r="63" ht="18" customHeight="1" s="91">
      <c r="A63" s="139">
        <f>IF(C63="","",ROW()-7)</f>
        <v/>
      </c>
      <c r="B63" s="140" t="n"/>
      <c r="C63" s="140" t="n"/>
      <c r="D63" s="141" t="n"/>
      <c r="E63" s="141" t="n"/>
      <c r="F63" s="140" t="n"/>
      <c r="G63" s="142" t="n"/>
      <c r="H63" s="140" t="n"/>
      <c r="I63" s="143" t="n"/>
      <c r="J63" s="144" t="n"/>
      <c r="K63" s="140" t="n"/>
      <c r="L63" s="140" t="n"/>
      <c r="M63" s="145">
        <f>IF(OR(L63="",L63="PENDING"),"",IF(L63="P",I63,IF(L63="L",0,IF(G63&lt;0,I63+I63*100/ABS(G63),I63+I63*G63/100))))</f>
        <v/>
      </c>
      <c r="N63" s="146">
        <f>IF(OR(L63="",L63="PENDING"),"",IF(L63="P",0,IF(L63="L",-J63,IF(G63&lt;0,J63*100/ABS(G63),J63*G63/100))))</f>
        <v/>
      </c>
      <c r="O63" s="145">
        <f>IF(OR(L63="",L63="PENDING"),"",IF(L63="P",0,M63-I63))</f>
        <v/>
      </c>
    </row>
    <row r="64" ht="18" customHeight="1" s="91">
      <c r="A64" s="131">
        <f>IF(C64="","",ROW()-7)</f>
        <v/>
      </c>
      <c r="B64" s="132" t="n"/>
      <c r="C64" s="132" t="n"/>
      <c r="D64" s="133" t="n"/>
      <c r="E64" s="133" t="n"/>
      <c r="F64" s="132" t="n"/>
      <c r="G64" s="134" t="n"/>
      <c r="H64" s="132" t="n"/>
      <c r="I64" s="135" t="n"/>
      <c r="J64" s="136" t="n"/>
      <c r="K64" s="132" t="n"/>
      <c r="L64" s="132" t="n"/>
      <c r="M64" s="137">
        <f>IF(OR(L64="",L64="PENDING"),"",IF(L64="P",I64,IF(L64="L",0,IF(G64&lt;0,I64+I64*100/ABS(G64),I64+I64*G64/100))))</f>
        <v/>
      </c>
      <c r="N64" s="138">
        <f>IF(OR(L64="",L64="PENDING"),"",IF(L64="P",0,IF(L64="L",-J64,IF(G64&lt;0,J64*100/ABS(G64),J64*G64/100))))</f>
        <v/>
      </c>
      <c r="O64" s="137">
        <f>IF(OR(L64="",L64="PENDING"),"",IF(L64="P",0,M64-I64))</f>
        <v/>
      </c>
    </row>
    <row r="65" ht="18" customHeight="1" s="91">
      <c r="A65" s="139">
        <f>IF(C65="","",ROW()-7)</f>
        <v/>
      </c>
      <c r="B65" s="140" t="n"/>
      <c r="C65" s="140" t="n"/>
      <c r="D65" s="141" t="n"/>
      <c r="E65" s="141" t="n"/>
      <c r="F65" s="140" t="n"/>
      <c r="G65" s="142" t="n"/>
      <c r="H65" s="140" t="n"/>
      <c r="I65" s="143" t="n"/>
      <c r="J65" s="144" t="n"/>
      <c r="K65" s="140" t="n"/>
      <c r="L65" s="140" t="n"/>
      <c r="M65" s="145">
        <f>IF(OR(L65="",L65="PENDING"),"",IF(L65="P",I65,IF(L65="L",0,IF(G65&lt;0,I65+I65*100/ABS(G65),I65+I65*G65/100))))</f>
        <v/>
      </c>
      <c r="N65" s="146">
        <f>IF(OR(L65="",L65="PENDING"),"",IF(L65="P",0,IF(L65="L",-J65,IF(G65&lt;0,J65*100/ABS(G65),J65*G65/100))))</f>
        <v/>
      </c>
      <c r="O65" s="145">
        <f>IF(OR(L65="",L65="PENDING"),"",IF(L65="P",0,M65-I65))</f>
        <v/>
      </c>
    </row>
    <row r="66" ht="18" customHeight="1" s="91">
      <c r="A66" s="131">
        <f>IF(C66="","",ROW()-7)</f>
        <v/>
      </c>
      <c r="B66" s="132" t="n"/>
      <c r="C66" s="132" t="n"/>
      <c r="D66" s="133" t="n"/>
      <c r="E66" s="133" t="n"/>
      <c r="F66" s="132" t="n"/>
      <c r="G66" s="134" t="n"/>
      <c r="H66" s="132" t="n"/>
      <c r="I66" s="135" t="n"/>
      <c r="J66" s="136" t="n"/>
      <c r="K66" s="132" t="n"/>
      <c r="L66" s="132" t="n"/>
      <c r="M66" s="137">
        <f>IF(OR(L66="",L66="PENDING"),"",IF(L66="P",I66,IF(L66="L",0,IF(G66&lt;0,I66+I66*100/ABS(G66),I66+I66*G66/100))))</f>
        <v/>
      </c>
      <c r="N66" s="138">
        <f>IF(OR(L66="",L66="PENDING"),"",IF(L66="P",0,IF(L66="L",-J66,IF(G66&lt;0,J66*100/ABS(G66),J66*G66/100))))</f>
        <v/>
      </c>
      <c r="O66" s="137">
        <f>IF(OR(L66="",L66="PENDING"),"",IF(L66="P",0,M66-I66))</f>
        <v/>
      </c>
    </row>
    <row r="67" ht="18" customHeight="1" s="91">
      <c r="A67" s="139">
        <f>IF(C67="","",ROW()-7)</f>
        <v/>
      </c>
      <c r="B67" s="140" t="n"/>
      <c r="C67" s="140" t="n"/>
      <c r="D67" s="141" t="n"/>
      <c r="E67" s="141" t="n"/>
      <c r="F67" s="140" t="n"/>
      <c r="G67" s="142" t="n"/>
      <c r="H67" s="140" t="n"/>
      <c r="I67" s="143" t="n"/>
      <c r="J67" s="144" t="n"/>
      <c r="K67" s="140" t="n"/>
      <c r="L67" s="140" t="n"/>
      <c r="M67" s="145">
        <f>IF(OR(L67="",L67="PENDING"),"",IF(L67="P",I67,IF(L67="L",0,IF(G67&lt;0,I67+I67*100/ABS(G67),I67+I67*G67/100))))</f>
        <v/>
      </c>
      <c r="N67" s="146">
        <f>IF(OR(L67="",L67="PENDING"),"",IF(L67="P",0,IF(L67="L",-J67,IF(G67&lt;0,J67*100/ABS(G67),J67*G67/100))))</f>
        <v/>
      </c>
      <c r="O67" s="145">
        <f>IF(OR(L67="",L67="PENDING"),"",IF(L67="P",0,M67-I67))</f>
        <v/>
      </c>
    </row>
    <row r="68" ht="18" customHeight="1" s="91">
      <c r="A68" s="131">
        <f>IF(C68="","",ROW()-7)</f>
        <v/>
      </c>
      <c r="B68" s="132" t="n"/>
      <c r="C68" s="132" t="n"/>
      <c r="D68" s="133" t="n"/>
      <c r="E68" s="133" t="n"/>
      <c r="F68" s="132" t="n"/>
      <c r="G68" s="134" t="n"/>
      <c r="H68" s="132" t="n"/>
      <c r="I68" s="135" t="n"/>
      <c r="J68" s="136" t="n"/>
      <c r="K68" s="132" t="n"/>
      <c r="L68" s="132" t="n"/>
      <c r="M68" s="137">
        <f>IF(OR(L68="",L68="PENDING"),"",IF(L68="P",I68,IF(L68="L",0,IF(G68&lt;0,I68+I68*100/ABS(G68),I68+I68*G68/100))))</f>
        <v/>
      </c>
      <c r="N68" s="138">
        <f>IF(OR(L68="",L68="PENDING"),"",IF(L68="P",0,IF(L68="L",-J68,IF(G68&lt;0,J68*100/ABS(G68),J68*G68/100))))</f>
        <v/>
      </c>
      <c r="O68" s="137">
        <f>IF(OR(L68="",L68="PENDING"),"",IF(L68="P",0,M68-I68))</f>
        <v/>
      </c>
    </row>
    <row r="69" ht="18" customHeight="1" s="91">
      <c r="A69" s="139">
        <f>IF(C69="","",ROW()-7)</f>
        <v/>
      </c>
      <c r="B69" s="140" t="n"/>
      <c r="C69" s="140" t="n"/>
      <c r="D69" s="141" t="n"/>
      <c r="E69" s="141" t="n"/>
      <c r="F69" s="140" t="n"/>
      <c r="G69" s="142" t="n"/>
      <c r="H69" s="140" t="n"/>
      <c r="I69" s="143" t="n"/>
      <c r="J69" s="144" t="n"/>
      <c r="K69" s="140" t="n"/>
      <c r="L69" s="140" t="n"/>
      <c r="M69" s="145">
        <f>IF(OR(L69="",L69="PENDING"),"",IF(L69="P",I69,IF(L69="L",0,IF(G69&lt;0,I69+I69*100/ABS(G69),I69+I69*G69/100))))</f>
        <v/>
      </c>
      <c r="N69" s="146">
        <f>IF(OR(L69="",L69="PENDING"),"",IF(L69="P",0,IF(L69="L",-J69,IF(G69&lt;0,J69*100/ABS(G69),J69*G69/100))))</f>
        <v/>
      </c>
      <c r="O69" s="145">
        <f>IF(OR(L69="",L69="PENDING"),"",IF(L69="P",0,M69-I69))</f>
        <v/>
      </c>
    </row>
    <row r="70" ht="18" customHeight="1" s="91">
      <c r="A70" s="131">
        <f>IF(C70="","",ROW()-7)</f>
        <v/>
      </c>
      <c r="B70" s="132" t="n"/>
      <c r="C70" s="132" t="n"/>
      <c r="D70" s="133" t="n"/>
      <c r="E70" s="133" t="n"/>
      <c r="F70" s="132" t="n"/>
      <c r="G70" s="134" t="n"/>
      <c r="H70" s="132" t="n"/>
      <c r="I70" s="135" t="n"/>
      <c r="J70" s="136" t="n"/>
      <c r="K70" s="132" t="n"/>
      <c r="L70" s="132" t="n"/>
      <c r="M70" s="137">
        <f>IF(OR(L70="",L70="PENDING"),"",IF(L70="P",I70,IF(L70="L",0,IF(G70&lt;0,I70+I70*100/ABS(G70),I70+I70*G70/100))))</f>
        <v/>
      </c>
      <c r="N70" s="138">
        <f>IF(OR(L70="",L70="PENDING"),"",IF(L70="P",0,IF(L70="L",-J70,IF(G70&lt;0,J70*100/ABS(G70),J70*G70/100))))</f>
        <v/>
      </c>
      <c r="O70" s="137">
        <f>IF(OR(L70="",L70="PENDING"),"",IF(L70="P",0,M70-I70))</f>
        <v/>
      </c>
    </row>
    <row r="71" ht="18" customHeight="1" s="91">
      <c r="A71" s="139">
        <f>IF(C71="","",ROW()-7)</f>
        <v/>
      </c>
      <c r="B71" s="140" t="n"/>
      <c r="C71" s="140" t="n"/>
      <c r="D71" s="141" t="n"/>
      <c r="E71" s="141" t="n"/>
      <c r="F71" s="140" t="n"/>
      <c r="G71" s="142" t="n"/>
      <c r="H71" s="140" t="n"/>
      <c r="I71" s="143" t="n"/>
      <c r="J71" s="144" t="n"/>
      <c r="K71" s="140" t="n"/>
      <c r="L71" s="140" t="n"/>
      <c r="M71" s="145">
        <f>IF(OR(L71="",L71="PENDING"),"",IF(L71="P",I71,IF(L71="L",0,IF(G71&lt;0,I71+I71*100/ABS(G71),I71+I71*G71/100))))</f>
        <v/>
      </c>
      <c r="N71" s="146">
        <f>IF(OR(L71="",L71="PENDING"),"",IF(L71="P",0,IF(L71="L",-J71,IF(G71&lt;0,J71*100/ABS(G71),J71*G71/100))))</f>
        <v/>
      </c>
      <c r="O71" s="145">
        <f>IF(OR(L71="",L71="PENDING"),"",IF(L71="P",0,M71-I71))</f>
        <v/>
      </c>
    </row>
    <row r="72" ht="18" customHeight="1" s="91">
      <c r="A72" s="131">
        <f>IF(C72="","",ROW()-7)</f>
        <v/>
      </c>
      <c r="B72" s="132" t="n"/>
      <c r="C72" s="132" t="n"/>
      <c r="D72" s="133" t="n"/>
      <c r="E72" s="133" t="n"/>
      <c r="F72" s="132" t="n"/>
      <c r="G72" s="134" t="n"/>
      <c r="H72" s="132" t="n"/>
      <c r="I72" s="135" t="n"/>
      <c r="J72" s="136" t="n"/>
      <c r="K72" s="132" t="n"/>
      <c r="L72" s="132" t="n"/>
      <c r="M72" s="137">
        <f>IF(OR(L72="",L72="PENDING"),"",IF(L72="P",I72,IF(L72="L",0,IF(G72&lt;0,I72+I72*100/ABS(G72),I72+I72*G72/100))))</f>
        <v/>
      </c>
      <c r="N72" s="138">
        <f>IF(OR(L72="",L72="PENDING"),"",IF(L72="P",0,IF(L72="L",-J72,IF(G72&lt;0,J72*100/ABS(G72),J72*G72/100))))</f>
        <v/>
      </c>
      <c r="O72" s="137">
        <f>IF(OR(L72="",L72="PENDING"),"",IF(L72="P",0,M72-I72))</f>
        <v/>
      </c>
    </row>
    <row r="73" ht="18" customHeight="1" s="91">
      <c r="A73" s="139">
        <f>IF(C73="","",ROW()-7)</f>
        <v/>
      </c>
      <c r="B73" s="140" t="n"/>
      <c r="C73" s="140" t="n"/>
      <c r="D73" s="141" t="n"/>
      <c r="E73" s="141" t="n"/>
      <c r="F73" s="140" t="n"/>
      <c r="G73" s="142" t="n"/>
      <c r="H73" s="140" t="n"/>
      <c r="I73" s="143" t="n"/>
      <c r="J73" s="144" t="n"/>
      <c r="K73" s="140" t="n"/>
      <c r="L73" s="140" t="n"/>
      <c r="M73" s="145">
        <f>IF(OR(L73="",L73="PENDING"),"",IF(L73="P",I73,IF(L73="L",0,IF(G73&lt;0,I73+I73*100/ABS(G73),I73+I73*G73/100))))</f>
        <v/>
      </c>
      <c r="N73" s="146">
        <f>IF(OR(L73="",L73="PENDING"),"",IF(L73="P",0,IF(L73="L",-J73,IF(G73&lt;0,J73*100/ABS(G73),J73*G73/100))))</f>
        <v/>
      </c>
      <c r="O73" s="145">
        <f>IF(OR(L73="",L73="PENDING"),"",IF(L73="P",0,M73-I73))</f>
        <v/>
      </c>
    </row>
    <row r="74" ht="18" customHeight="1" s="91">
      <c r="A74" s="131">
        <f>IF(C74="","",ROW()-7)</f>
        <v/>
      </c>
      <c r="B74" s="132" t="n"/>
      <c r="C74" s="132" t="n"/>
      <c r="D74" s="133" t="n"/>
      <c r="E74" s="133" t="n"/>
      <c r="F74" s="132" t="n"/>
      <c r="G74" s="134" t="n"/>
      <c r="H74" s="132" t="n"/>
      <c r="I74" s="135" t="n"/>
      <c r="J74" s="136" t="n"/>
      <c r="K74" s="132" t="n"/>
      <c r="L74" s="132" t="n"/>
      <c r="M74" s="137">
        <f>IF(OR(L74="",L74="PENDING"),"",IF(L74="P",I74,IF(L74="L",0,IF(G74&lt;0,I74+I74*100/ABS(G74),I74+I74*G74/100))))</f>
        <v/>
      </c>
      <c r="N74" s="138">
        <f>IF(OR(L74="",L74="PENDING"),"",IF(L74="P",0,IF(L74="L",-J74,IF(G74&lt;0,J74*100/ABS(G74),J74*G74/100))))</f>
        <v/>
      </c>
      <c r="O74" s="137">
        <f>IF(OR(L74="",L74="PENDING"),"",IF(L74="P",0,M74-I74))</f>
        <v/>
      </c>
    </row>
    <row r="75" ht="18" customHeight="1" s="91">
      <c r="A75" s="139">
        <f>IF(C75="","",ROW()-7)</f>
        <v/>
      </c>
      <c r="B75" s="140" t="n"/>
      <c r="C75" s="140" t="n"/>
      <c r="D75" s="141" t="n"/>
      <c r="E75" s="141" t="n"/>
      <c r="F75" s="140" t="n"/>
      <c r="G75" s="142" t="n"/>
      <c r="H75" s="140" t="n"/>
      <c r="I75" s="143" t="n"/>
      <c r="J75" s="144" t="n"/>
      <c r="K75" s="140" t="n"/>
      <c r="L75" s="140" t="n"/>
      <c r="M75" s="145">
        <f>IF(OR(L75="",L75="PENDING"),"",IF(L75="P",I75,IF(L75="L",0,IF(G75&lt;0,I75+I75*100/ABS(G75),I75+I75*G75/100))))</f>
        <v/>
      </c>
      <c r="N75" s="146">
        <f>IF(OR(L75="",L75="PENDING"),"",IF(L75="P",0,IF(L75="L",-J75,IF(G75&lt;0,J75*100/ABS(G75),J75*G75/100))))</f>
        <v/>
      </c>
      <c r="O75" s="145">
        <f>IF(OR(L75="",L75="PENDING"),"",IF(L75="P",0,M75-I75))</f>
        <v/>
      </c>
    </row>
    <row r="76" ht="18" customHeight="1" s="91">
      <c r="A76" s="131">
        <f>IF(C76="","",ROW()-7)</f>
        <v/>
      </c>
      <c r="B76" s="132" t="n"/>
      <c r="C76" s="132" t="n"/>
      <c r="D76" s="133" t="n"/>
      <c r="E76" s="133" t="n"/>
      <c r="F76" s="132" t="n"/>
      <c r="G76" s="134" t="n"/>
      <c r="H76" s="132" t="n"/>
      <c r="I76" s="135" t="n"/>
      <c r="J76" s="136" t="n"/>
      <c r="K76" s="132" t="n"/>
      <c r="L76" s="132" t="n"/>
      <c r="M76" s="137">
        <f>IF(OR(L76="",L76="PENDING"),"",IF(L76="P",I76,IF(L76="L",0,IF(G76&lt;0,I76+I76*100/ABS(G76),I76+I76*G76/100))))</f>
        <v/>
      </c>
      <c r="N76" s="138">
        <f>IF(OR(L76="",L76="PENDING"),"",IF(L76="P",0,IF(L76="L",-J76,IF(G76&lt;0,J76*100/ABS(G76),J76*G76/100))))</f>
        <v/>
      </c>
      <c r="O76" s="137">
        <f>IF(OR(L76="",L76="PENDING"),"",IF(L76="P",0,M76-I76))</f>
        <v/>
      </c>
    </row>
    <row r="77" ht="18" customHeight="1" s="91">
      <c r="A77" s="139">
        <f>IF(C77="","",ROW()-7)</f>
        <v/>
      </c>
      <c r="B77" s="140" t="n"/>
      <c r="C77" s="140" t="n"/>
      <c r="D77" s="141" t="n"/>
      <c r="E77" s="141" t="n"/>
      <c r="F77" s="140" t="n"/>
      <c r="G77" s="142" t="n"/>
      <c r="H77" s="140" t="n"/>
      <c r="I77" s="143" t="n"/>
      <c r="J77" s="144" t="n"/>
      <c r="K77" s="140" t="n"/>
      <c r="L77" s="140" t="n"/>
      <c r="M77" s="145">
        <f>IF(OR(L77="",L77="PENDING"),"",IF(L77="P",I77,IF(L77="L",0,IF(G77&lt;0,I77+I77*100/ABS(G77),I77+I77*G77/100))))</f>
        <v/>
      </c>
      <c r="N77" s="146">
        <f>IF(OR(L77="",L77="PENDING"),"",IF(L77="P",0,IF(L77="L",-J77,IF(G77&lt;0,J77*100/ABS(G77),J77*G77/100))))</f>
        <v/>
      </c>
      <c r="O77" s="145">
        <f>IF(OR(L77="",L77="PENDING"),"",IF(L77="P",0,M77-I77))</f>
        <v/>
      </c>
    </row>
    <row r="78" ht="18" customHeight="1" s="91">
      <c r="A78" s="131">
        <f>IF(C78="","",ROW()-7)</f>
        <v/>
      </c>
      <c r="B78" s="132" t="n"/>
      <c r="C78" s="132" t="n"/>
      <c r="D78" s="133" t="n"/>
      <c r="E78" s="133" t="n"/>
      <c r="F78" s="132" t="n"/>
      <c r="G78" s="134" t="n"/>
      <c r="H78" s="132" t="n"/>
      <c r="I78" s="135" t="n"/>
      <c r="J78" s="136" t="n"/>
      <c r="K78" s="132" t="n"/>
      <c r="L78" s="132" t="n"/>
      <c r="M78" s="137">
        <f>IF(OR(L78="",L78="PENDING"),"",IF(L78="P",I78,IF(L78="L",0,IF(G78&lt;0,I78+I78*100/ABS(G78),I78+I78*G78/100))))</f>
        <v/>
      </c>
      <c r="N78" s="138">
        <f>IF(OR(L78="",L78="PENDING"),"",IF(L78="P",0,IF(L78="L",-J78,IF(G78&lt;0,J78*100/ABS(G78),J78*G78/100))))</f>
        <v/>
      </c>
      <c r="O78" s="137">
        <f>IF(OR(L78="",L78="PENDING"),"",IF(L78="P",0,M78-I78))</f>
        <v/>
      </c>
    </row>
    <row r="79" ht="18" customHeight="1" s="91">
      <c r="A79" s="139">
        <f>IF(C79="","",ROW()-7)</f>
        <v/>
      </c>
      <c r="B79" s="140" t="n"/>
      <c r="C79" s="140" t="n"/>
      <c r="D79" s="141" t="n"/>
      <c r="E79" s="141" t="n"/>
      <c r="F79" s="140" t="n"/>
      <c r="G79" s="142" t="n"/>
      <c r="H79" s="140" t="n"/>
      <c r="I79" s="143" t="n"/>
      <c r="J79" s="144" t="n"/>
      <c r="K79" s="140" t="n"/>
      <c r="L79" s="140" t="n"/>
      <c r="M79" s="145">
        <f>IF(OR(L79="",L79="PENDING"),"",IF(L79="P",I79,IF(L79="L",0,IF(G79&lt;0,I79+I79*100/ABS(G79),I79+I79*G79/100))))</f>
        <v/>
      </c>
      <c r="N79" s="146">
        <f>IF(OR(L79="",L79="PENDING"),"",IF(L79="P",0,IF(L79="L",-J79,IF(G79&lt;0,J79*100/ABS(G79),J79*G79/100))))</f>
        <v/>
      </c>
      <c r="O79" s="145">
        <f>IF(OR(L79="",L79="PENDING"),"",IF(L79="P",0,M79-I79))</f>
        <v/>
      </c>
    </row>
    <row r="80" ht="18" customHeight="1" s="91">
      <c r="A80" s="131">
        <f>IF(C80="","",ROW()-7)</f>
        <v/>
      </c>
      <c r="B80" s="132" t="n"/>
      <c r="C80" s="132" t="n"/>
      <c r="D80" s="133" t="n"/>
      <c r="E80" s="133" t="n"/>
      <c r="F80" s="132" t="n"/>
      <c r="G80" s="134" t="n"/>
      <c r="H80" s="132" t="n"/>
      <c r="I80" s="135" t="n"/>
      <c r="J80" s="136" t="n"/>
      <c r="K80" s="132" t="n"/>
      <c r="L80" s="132" t="n"/>
      <c r="M80" s="137">
        <f>IF(OR(L80="",L80="PENDING"),"",IF(L80="P",I80,IF(L80="L",0,IF(G80&lt;0,I80+I80*100/ABS(G80),I80+I80*G80/100))))</f>
        <v/>
      </c>
      <c r="N80" s="138">
        <f>IF(OR(L80="",L80="PENDING"),"",IF(L80="P",0,IF(L80="L",-J80,IF(G80&lt;0,J80*100/ABS(G80),J80*G80/100))))</f>
        <v/>
      </c>
      <c r="O80" s="137">
        <f>IF(OR(L80="",L80="PENDING"),"",IF(L80="P",0,M80-I80))</f>
        <v/>
      </c>
    </row>
    <row r="81" ht="18" customHeight="1" s="91">
      <c r="A81" s="139">
        <f>IF(C81="","",ROW()-7)</f>
        <v/>
      </c>
      <c r="B81" s="140" t="n"/>
      <c r="C81" s="140" t="n"/>
      <c r="D81" s="141" t="n"/>
      <c r="E81" s="141" t="n"/>
      <c r="F81" s="140" t="n"/>
      <c r="G81" s="142" t="n"/>
      <c r="H81" s="140" t="n"/>
      <c r="I81" s="143" t="n"/>
      <c r="J81" s="144" t="n"/>
      <c r="K81" s="140" t="n"/>
      <c r="L81" s="140" t="n"/>
      <c r="M81" s="145">
        <f>IF(OR(L81="",L81="PENDING"),"",IF(L81="P",I81,IF(L81="L",0,IF(G81&lt;0,I81+I81*100/ABS(G81),I81+I81*G81/100))))</f>
        <v/>
      </c>
      <c r="N81" s="146">
        <f>IF(OR(L81="",L81="PENDING"),"",IF(L81="P",0,IF(L81="L",-J81,IF(G81&lt;0,J81*100/ABS(G81),J81*G81/100))))</f>
        <v/>
      </c>
      <c r="O81" s="145">
        <f>IF(OR(L81="",L81="PENDING"),"",IF(L81="P",0,M81-I81))</f>
        <v/>
      </c>
    </row>
    <row r="82" ht="18" customHeight="1" s="91">
      <c r="A82" s="131">
        <f>IF(C82="","",ROW()-7)</f>
        <v/>
      </c>
      <c r="B82" s="132" t="n"/>
      <c r="C82" s="132" t="n"/>
      <c r="D82" s="133" t="n"/>
      <c r="E82" s="133" t="n"/>
      <c r="F82" s="132" t="n"/>
      <c r="G82" s="134" t="n"/>
      <c r="H82" s="132" t="n"/>
      <c r="I82" s="135" t="n"/>
      <c r="J82" s="136" t="n"/>
      <c r="K82" s="132" t="n"/>
      <c r="L82" s="132" t="n"/>
      <c r="M82" s="137">
        <f>IF(OR(L82="",L82="PENDING"),"",IF(L82="P",I82,IF(L82="L",0,IF(G82&lt;0,I82+I82*100/ABS(G82),I82+I82*G82/100))))</f>
        <v/>
      </c>
      <c r="N82" s="138">
        <f>IF(OR(L82="",L82="PENDING"),"",IF(L82="P",0,IF(L82="L",-J82,IF(G82&lt;0,J82*100/ABS(G82),J82*G82/100))))</f>
        <v/>
      </c>
      <c r="O82" s="137">
        <f>IF(OR(L82="",L82="PENDING"),"",IF(L82="P",0,M82-I82))</f>
        <v/>
      </c>
    </row>
    <row r="83" ht="18" customHeight="1" s="91">
      <c r="A83" s="139">
        <f>IF(C83="","",ROW()-7)</f>
        <v/>
      </c>
      <c r="B83" s="140" t="n"/>
      <c r="C83" s="140" t="n"/>
      <c r="D83" s="141" t="n"/>
      <c r="E83" s="141" t="n"/>
      <c r="F83" s="140" t="n"/>
      <c r="G83" s="142" t="n"/>
      <c r="H83" s="140" t="n"/>
      <c r="I83" s="143" t="n"/>
      <c r="J83" s="144" t="n"/>
      <c r="K83" s="140" t="n"/>
      <c r="L83" s="140" t="n"/>
      <c r="M83" s="145">
        <f>IF(OR(L83="",L83="PENDING"),"",IF(L83="P",I83,IF(L83="L",0,IF(G83&lt;0,I83+I83*100/ABS(G83),I83+I83*G83/100))))</f>
        <v/>
      </c>
      <c r="N83" s="146">
        <f>IF(OR(L83="",L83="PENDING"),"",IF(L83="P",0,IF(L83="L",-J83,IF(G83&lt;0,J83*100/ABS(G83),J83*G83/100))))</f>
        <v/>
      </c>
      <c r="O83" s="145">
        <f>IF(OR(L83="",L83="PENDING"),"",IF(L83="P",0,M83-I83))</f>
        <v/>
      </c>
    </row>
    <row r="84" ht="18" customHeight="1" s="91">
      <c r="A84" s="131">
        <f>IF(C84="","",ROW()-7)</f>
        <v/>
      </c>
      <c r="B84" s="132" t="n"/>
      <c r="C84" s="132" t="n"/>
      <c r="D84" s="133" t="n"/>
      <c r="E84" s="133" t="n"/>
      <c r="F84" s="132" t="n"/>
      <c r="G84" s="134" t="n"/>
      <c r="H84" s="132" t="n"/>
      <c r="I84" s="135" t="n"/>
      <c r="J84" s="136" t="n"/>
      <c r="K84" s="132" t="n"/>
      <c r="L84" s="132" t="n"/>
      <c r="M84" s="137">
        <f>IF(OR(L84="",L84="PENDING"),"",IF(L84="P",I84,IF(L84="L",0,IF(G84&lt;0,I84+I84*100/ABS(G84),I84+I84*G84/100))))</f>
        <v/>
      </c>
      <c r="N84" s="138">
        <f>IF(OR(L84="",L84="PENDING"),"",IF(L84="P",0,IF(L84="L",-J84,IF(G84&lt;0,J84*100/ABS(G84),J84*G84/100))))</f>
        <v/>
      </c>
      <c r="O84" s="137">
        <f>IF(OR(L84="",L84="PENDING"),"",IF(L84="P",0,M84-I84))</f>
        <v/>
      </c>
    </row>
    <row r="85" ht="18" customHeight="1" s="91">
      <c r="A85" s="139">
        <f>IF(C85="","",ROW()-7)</f>
        <v/>
      </c>
      <c r="B85" s="140" t="n"/>
      <c r="C85" s="140" t="n"/>
      <c r="D85" s="141" t="n"/>
      <c r="E85" s="141" t="n"/>
      <c r="F85" s="140" t="n"/>
      <c r="G85" s="142" t="n"/>
      <c r="H85" s="140" t="n"/>
      <c r="I85" s="143" t="n"/>
      <c r="J85" s="144" t="n"/>
      <c r="K85" s="140" t="n"/>
      <c r="L85" s="140" t="n"/>
      <c r="M85" s="145">
        <f>IF(OR(L85="",L85="PENDING"),"",IF(L85="P",I85,IF(L85="L",0,IF(G85&lt;0,I85+I85*100/ABS(G85),I85+I85*G85/100))))</f>
        <v/>
      </c>
      <c r="N85" s="146">
        <f>IF(OR(L85="",L85="PENDING"),"",IF(L85="P",0,IF(L85="L",-J85,IF(G85&lt;0,J85*100/ABS(G85),J85*G85/100))))</f>
        <v/>
      </c>
      <c r="O85" s="145">
        <f>IF(OR(L85="",L85="PENDING"),"",IF(L85="P",0,M85-I85))</f>
        <v/>
      </c>
    </row>
    <row r="86" ht="18" customHeight="1" s="91">
      <c r="A86" s="131">
        <f>IF(C86="","",ROW()-7)</f>
        <v/>
      </c>
      <c r="B86" s="132" t="n"/>
      <c r="C86" s="132" t="n"/>
      <c r="D86" s="133" t="n"/>
      <c r="E86" s="133" t="n"/>
      <c r="F86" s="132" t="n"/>
      <c r="G86" s="134" t="n"/>
      <c r="H86" s="132" t="n"/>
      <c r="I86" s="135" t="n"/>
      <c r="J86" s="136" t="n"/>
      <c r="K86" s="132" t="n"/>
      <c r="L86" s="132" t="n"/>
      <c r="M86" s="137">
        <f>IF(OR(L86="",L86="PENDING"),"",IF(L86="P",I86,IF(L86="L",0,IF(G86&lt;0,I86+I86*100/ABS(G86),I86+I86*G86/100))))</f>
        <v/>
      </c>
      <c r="N86" s="138">
        <f>IF(OR(L86="",L86="PENDING"),"",IF(L86="P",0,IF(L86="L",-J86,IF(G86&lt;0,J86*100/ABS(G86),J86*G86/100))))</f>
        <v/>
      </c>
      <c r="O86" s="137">
        <f>IF(OR(L86="",L86="PENDING"),"",IF(L86="P",0,M86-I86))</f>
        <v/>
      </c>
    </row>
    <row r="87" ht="18" customHeight="1" s="91">
      <c r="A87" s="139">
        <f>IF(C87="","",ROW()-7)</f>
        <v/>
      </c>
      <c r="B87" s="140" t="n"/>
      <c r="C87" s="140" t="n"/>
      <c r="D87" s="141" t="n"/>
      <c r="E87" s="141" t="n"/>
      <c r="F87" s="140" t="n"/>
      <c r="G87" s="142" t="n"/>
      <c r="H87" s="140" t="n"/>
      <c r="I87" s="143" t="n"/>
      <c r="J87" s="144" t="n"/>
      <c r="K87" s="140" t="n"/>
      <c r="L87" s="140" t="n"/>
      <c r="M87" s="145">
        <f>IF(OR(L87="",L87="PENDING"),"",IF(L87="P",I87,IF(L87="L",0,IF(G87&lt;0,I87+I87*100/ABS(G87),I87+I87*G87/100))))</f>
        <v/>
      </c>
      <c r="N87" s="146">
        <f>IF(OR(L87="",L87="PENDING"),"",IF(L87="P",0,IF(L87="L",-J87,IF(G87&lt;0,J87*100/ABS(G87),J87*G87/100))))</f>
        <v/>
      </c>
      <c r="O87" s="145">
        <f>IF(OR(L87="",L87="PENDING"),"",IF(L87="P",0,M87-I87))</f>
        <v/>
      </c>
    </row>
    <row r="88" ht="18" customHeight="1" s="91">
      <c r="A88" s="131">
        <f>IF(C88="","",ROW()-7)</f>
        <v/>
      </c>
      <c r="B88" s="132" t="n"/>
      <c r="C88" s="132" t="n"/>
      <c r="D88" s="133" t="n"/>
      <c r="E88" s="133" t="n"/>
      <c r="F88" s="132" t="n"/>
      <c r="G88" s="134" t="n"/>
      <c r="H88" s="132" t="n"/>
      <c r="I88" s="135" t="n"/>
      <c r="J88" s="136" t="n"/>
      <c r="K88" s="132" t="n"/>
      <c r="L88" s="132" t="n"/>
      <c r="M88" s="137">
        <f>IF(OR(L88="",L88="PENDING"),"",IF(L88="P",I88,IF(L88="L",0,IF(G88&lt;0,I88+I88*100/ABS(G88),I88+I88*G88/100))))</f>
        <v/>
      </c>
      <c r="N88" s="138">
        <f>IF(OR(L88="",L88="PENDING"),"",IF(L88="P",0,IF(L88="L",-J88,IF(G88&lt;0,J88*100/ABS(G88),J88*G88/100))))</f>
        <v/>
      </c>
      <c r="O88" s="137">
        <f>IF(OR(L88="",L88="PENDING"),"",IF(L88="P",0,M88-I88))</f>
        <v/>
      </c>
    </row>
    <row r="89" ht="18" customHeight="1" s="91">
      <c r="A89" s="139">
        <f>IF(C89="","",ROW()-7)</f>
        <v/>
      </c>
      <c r="B89" s="140" t="n"/>
      <c r="C89" s="140" t="n"/>
      <c r="D89" s="141" t="n"/>
      <c r="E89" s="141" t="n"/>
      <c r="F89" s="140" t="n"/>
      <c r="G89" s="142" t="n"/>
      <c r="H89" s="140" t="n"/>
      <c r="I89" s="143" t="n"/>
      <c r="J89" s="144" t="n"/>
      <c r="K89" s="140" t="n"/>
      <c r="L89" s="140" t="n"/>
      <c r="M89" s="145">
        <f>IF(OR(L89="",L89="PENDING"),"",IF(L89="P",I89,IF(L89="L",0,IF(G89&lt;0,I89+I89*100/ABS(G89),I89+I89*G89/100))))</f>
        <v/>
      </c>
      <c r="N89" s="146">
        <f>IF(OR(L89="",L89="PENDING"),"",IF(L89="P",0,IF(L89="L",-J89,IF(G89&lt;0,J89*100/ABS(G89),J89*G89/100))))</f>
        <v/>
      </c>
      <c r="O89" s="145">
        <f>IF(OR(L89="",L89="PENDING"),"",IF(L89="P",0,M89-I89))</f>
        <v/>
      </c>
    </row>
    <row r="90" ht="18" customHeight="1" s="91">
      <c r="A90" s="131">
        <f>IF(C90="","",ROW()-7)</f>
        <v/>
      </c>
      <c r="B90" s="132" t="n"/>
      <c r="C90" s="132" t="n"/>
      <c r="D90" s="133" t="n"/>
      <c r="E90" s="133" t="n"/>
      <c r="F90" s="132" t="n"/>
      <c r="G90" s="134" t="n"/>
      <c r="H90" s="132" t="n"/>
      <c r="I90" s="135" t="n"/>
      <c r="J90" s="136" t="n"/>
      <c r="K90" s="132" t="n"/>
      <c r="L90" s="132" t="n"/>
      <c r="M90" s="137">
        <f>IF(OR(L90="",L90="PENDING"),"",IF(L90="P",I90,IF(L90="L",0,IF(G90&lt;0,I90+I90*100/ABS(G90),I90+I90*G90/100))))</f>
        <v/>
      </c>
      <c r="N90" s="138">
        <f>IF(OR(L90="",L90="PENDING"),"",IF(L90="P",0,IF(L90="L",-J90,IF(G90&lt;0,J90*100/ABS(G90),J90*G90/100))))</f>
        <v/>
      </c>
      <c r="O90" s="137">
        <f>IF(OR(L90="",L90="PENDING"),"",IF(L90="P",0,M90-I90))</f>
        <v/>
      </c>
    </row>
    <row r="91" ht="18" customHeight="1" s="91">
      <c r="A91" s="139">
        <f>IF(C91="","",ROW()-7)</f>
        <v/>
      </c>
      <c r="B91" s="140" t="n"/>
      <c r="C91" s="140" t="n"/>
      <c r="D91" s="141" t="n"/>
      <c r="E91" s="141" t="n"/>
      <c r="F91" s="140" t="n"/>
      <c r="G91" s="142" t="n"/>
      <c r="H91" s="140" t="n"/>
      <c r="I91" s="143" t="n"/>
      <c r="J91" s="144" t="n"/>
      <c r="K91" s="140" t="n"/>
      <c r="L91" s="140" t="n"/>
      <c r="M91" s="145">
        <f>IF(OR(L91="",L91="PENDING"),"",IF(L91="P",I91,IF(L91="L",0,IF(G91&lt;0,I91+I91*100/ABS(G91),I91+I91*G91/100))))</f>
        <v/>
      </c>
      <c r="N91" s="146">
        <f>IF(OR(L91="",L91="PENDING"),"",IF(L91="P",0,IF(L91="L",-J91,IF(G91&lt;0,J91*100/ABS(G91),J91*G91/100))))</f>
        <v/>
      </c>
      <c r="O91" s="145">
        <f>IF(OR(L91="",L91="PENDING"),"",IF(L91="P",0,M91-I91))</f>
        <v/>
      </c>
    </row>
    <row r="92" ht="18" customHeight="1" s="91">
      <c r="A92" s="131">
        <f>IF(C92="","",ROW()-7)</f>
        <v/>
      </c>
      <c r="B92" s="132" t="n"/>
      <c r="C92" s="132" t="n"/>
      <c r="D92" s="133" t="n"/>
      <c r="E92" s="133" t="n"/>
      <c r="F92" s="132" t="n"/>
      <c r="G92" s="134" t="n"/>
      <c r="H92" s="132" t="n"/>
      <c r="I92" s="135" t="n"/>
      <c r="J92" s="136" t="n"/>
      <c r="K92" s="132" t="n"/>
      <c r="L92" s="132" t="n"/>
      <c r="M92" s="137">
        <f>IF(OR(L92="",L92="PENDING"),"",IF(L92="P",I92,IF(L92="L",0,IF(G92&lt;0,I92+I92*100/ABS(G92),I92+I92*G92/100))))</f>
        <v/>
      </c>
      <c r="N92" s="138">
        <f>IF(OR(L92="",L92="PENDING"),"",IF(L92="P",0,IF(L92="L",-J92,IF(G92&lt;0,J92*100/ABS(G92),J92*G92/100))))</f>
        <v/>
      </c>
      <c r="O92" s="137">
        <f>IF(OR(L92="",L92="PENDING"),"",IF(L92="P",0,M92-I92))</f>
        <v/>
      </c>
    </row>
    <row r="93" ht="18" customHeight="1" s="91">
      <c r="A93" s="139">
        <f>IF(C93="","",ROW()-7)</f>
        <v/>
      </c>
      <c r="B93" s="140" t="n"/>
      <c r="C93" s="140" t="n"/>
      <c r="D93" s="141" t="n"/>
      <c r="E93" s="141" t="n"/>
      <c r="F93" s="140" t="n"/>
      <c r="G93" s="142" t="n"/>
      <c r="H93" s="140" t="n"/>
      <c r="I93" s="143" t="n"/>
      <c r="J93" s="144" t="n"/>
      <c r="K93" s="140" t="n"/>
      <c r="L93" s="140" t="n"/>
      <c r="M93" s="145">
        <f>IF(OR(L93="",L93="PENDING"),"",IF(L93="P",I93,IF(L93="L",0,IF(G93&lt;0,I93+I93*100/ABS(G93),I93+I93*G93/100))))</f>
        <v/>
      </c>
      <c r="N93" s="146">
        <f>IF(OR(L93="",L93="PENDING"),"",IF(L93="P",0,IF(L93="L",-J93,IF(G93&lt;0,J93*100/ABS(G93),J93*G93/100))))</f>
        <v/>
      </c>
      <c r="O93" s="145">
        <f>IF(OR(L93="",L93="PENDING"),"",IF(L93="P",0,M93-I93))</f>
        <v/>
      </c>
    </row>
    <row r="94" ht="18" customHeight="1" s="91">
      <c r="A94" s="131">
        <f>IF(C94="","",ROW()-7)</f>
        <v/>
      </c>
      <c r="B94" s="132" t="n"/>
      <c r="C94" s="132" t="n"/>
      <c r="D94" s="133" t="n"/>
      <c r="E94" s="133" t="n"/>
      <c r="F94" s="132" t="n"/>
      <c r="G94" s="134" t="n"/>
      <c r="H94" s="132" t="n"/>
      <c r="I94" s="135" t="n"/>
      <c r="J94" s="136" t="n"/>
      <c r="K94" s="132" t="n"/>
      <c r="L94" s="132" t="n"/>
      <c r="M94" s="137">
        <f>IF(OR(L94="",L94="PENDING"),"",IF(L94="P",I94,IF(L94="L",0,IF(G94&lt;0,I94+I94*100/ABS(G94),I94+I94*G94/100))))</f>
        <v/>
      </c>
      <c r="N94" s="138">
        <f>IF(OR(L94="",L94="PENDING"),"",IF(L94="P",0,IF(L94="L",-J94,IF(G94&lt;0,J94*100/ABS(G94),J94*G94/100))))</f>
        <v/>
      </c>
      <c r="O94" s="137">
        <f>IF(OR(L94="",L94="PENDING"),"",IF(L94="P",0,M94-I94))</f>
        <v/>
      </c>
    </row>
    <row r="95" ht="18" customHeight="1" s="91">
      <c r="A95" s="139">
        <f>IF(C95="","",ROW()-7)</f>
        <v/>
      </c>
      <c r="B95" s="140" t="n"/>
      <c r="C95" s="140" t="n"/>
      <c r="D95" s="141" t="n"/>
      <c r="E95" s="141" t="n"/>
      <c r="F95" s="140" t="n"/>
      <c r="G95" s="142" t="n"/>
      <c r="H95" s="140" t="n"/>
      <c r="I95" s="143" t="n"/>
      <c r="J95" s="144" t="n"/>
      <c r="K95" s="140" t="n"/>
      <c r="L95" s="140" t="n"/>
      <c r="M95" s="145">
        <f>IF(OR(L95="",L95="PENDING"),"",IF(L95="P",I95,IF(L95="L",0,IF(G95&lt;0,I95+I95*100/ABS(G95),I95+I95*G95/100))))</f>
        <v/>
      </c>
      <c r="N95" s="146">
        <f>IF(OR(L95="",L95="PENDING"),"",IF(L95="P",0,IF(L95="L",-J95,IF(G95&lt;0,J95*100/ABS(G95),J95*G95/100))))</f>
        <v/>
      </c>
      <c r="O95" s="145">
        <f>IF(OR(L95="",L95="PENDING"),"",IF(L95="P",0,M95-I95))</f>
        <v/>
      </c>
    </row>
    <row r="96" ht="18" customHeight="1" s="91">
      <c r="A96" s="131">
        <f>IF(C96="","",ROW()-7)</f>
        <v/>
      </c>
      <c r="B96" s="132" t="n"/>
      <c r="C96" s="132" t="n"/>
      <c r="D96" s="133" t="n"/>
      <c r="E96" s="133" t="n"/>
      <c r="F96" s="132" t="n"/>
      <c r="G96" s="134" t="n"/>
      <c r="H96" s="132" t="n"/>
      <c r="I96" s="135" t="n"/>
      <c r="J96" s="136" t="n"/>
      <c r="K96" s="132" t="n"/>
      <c r="L96" s="132" t="n"/>
      <c r="M96" s="137">
        <f>IF(OR(L96="",L96="PENDING"),"",IF(L96="P",I96,IF(L96="L",0,IF(G96&lt;0,I96+I96*100/ABS(G96),I96+I96*G96/100))))</f>
        <v/>
      </c>
      <c r="N96" s="138">
        <f>IF(OR(L96="",L96="PENDING"),"",IF(L96="P",0,IF(L96="L",-J96,IF(G96&lt;0,J96*100/ABS(G96),J96*G96/100))))</f>
        <v/>
      </c>
      <c r="O96" s="137">
        <f>IF(OR(L96="",L96="PENDING"),"",IF(L96="P",0,M96-I96))</f>
        <v/>
      </c>
    </row>
    <row r="97" ht="18" customHeight="1" s="91">
      <c r="A97" s="139">
        <f>IF(C97="","",ROW()-7)</f>
        <v/>
      </c>
      <c r="B97" s="140" t="n"/>
      <c r="C97" s="140" t="n"/>
      <c r="D97" s="141" t="n"/>
      <c r="E97" s="141" t="n"/>
      <c r="F97" s="140" t="n"/>
      <c r="G97" s="142" t="n"/>
      <c r="H97" s="140" t="n"/>
      <c r="I97" s="143" t="n"/>
      <c r="J97" s="144" t="n"/>
      <c r="K97" s="140" t="n"/>
      <c r="L97" s="140" t="n"/>
      <c r="M97" s="145">
        <f>IF(OR(L97="",L97="PENDING"),"",IF(L97="P",I97,IF(L97="L",0,IF(G97&lt;0,I97+I97*100/ABS(G97),I97+I97*G97/100))))</f>
        <v/>
      </c>
      <c r="N97" s="146">
        <f>IF(OR(L97="",L97="PENDING"),"",IF(L97="P",0,IF(L97="L",-J97,IF(G97&lt;0,J97*100/ABS(G97),J97*G97/100))))</f>
        <v/>
      </c>
      <c r="O97" s="145">
        <f>IF(OR(L97="",L97="PENDING"),"",IF(L97="P",0,M97-I97))</f>
        <v/>
      </c>
    </row>
    <row r="98" ht="18" customHeight="1" s="91">
      <c r="A98" s="131">
        <f>IF(C98="","",ROW()-7)</f>
        <v/>
      </c>
      <c r="B98" s="132" t="n"/>
      <c r="C98" s="132" t="n"/>
      <c r="D98" s="133" t="n"/>
      <c r="E98" s="133" t="n"/>
      <c r="F98" s="132" t="n"/>
      <c r="G98" s="134" t="n"/>
      <c r="H98" s="132" t="n"/>
      <c r="I98" s="135" t="n"/>
      <c r="J98" s="136" t="n"/>
      <c r="K98" s="132" t="n"/>
      <c r="L98" s="132" t="n"/>
      <c r="M98" s="137">
        <f>IF(OR(L98="",L98="PENDING"),"",IF(L98="P",I98,IF(L98="L",0,IF(G98&lt;0,I98+I98*100/ABS(G98),I98+I98*G98/100))))</f>
        <v/>
      </c>
      <c r="N98" s="138">
        <f>IF(OR(L98="",L98="PENDING"),"",IF(L98="P",0,IF(L98="L",-J98,IF(G98&lt;0,J98*100/ABS(G98),J98*G98/100))))</f>
        <v/>
      </c>
      <c r="O98" s="137">
        <f>IF(OR(L98="",L98="PENDING"),"",IF(L98="P",0,M98-I98))</f>
        <v/>
      </c>
    </row>
    <row r="99" ht="18" customHeight="1" s="91">
      <c r="A99" s="139">
        <f>IF(C99="","",ROW()-7)</f>
        <v/>
      </c>
      <c r="B99" s="140" t="n"/>
      <c r="C99" s="140" t="n"/>
      <c r="D99" s="141" t="n"/>
      <c r="E99" s="141" t="n"/>
      <c r="F99" s="140" t="n"/>
      <c r="G99" s="142" t="n"/>
      <c r="H99" s="140" t="n"/>
      <c r="I99" s="143" t="n"/>
      <c r="J99" s="144" t="n"/>
      <c r="K99" s="140" t="n"/>
      <c r="L99" s="140" t="n"/>
      <c r="M99" s="145">
        <f>IF(OR(L99="",L99="PENDING"),"",IF(L99="P",I99,IF(L99="L",0,IF(G99&lt;0,I99+I99*100/ABS(G99),I99+I99*G99/100))))</f>
        <v/>
      </c>
      <c r="N99" s="146">
        <f>IF(OR(L99="",L99="PENDING"),"",IF(L99="P",0,IF(L99="L",-J99,IF(G99&lt;0,J99*100/ABS(G99),J99*G99/100))))</f>
        <v/>
      </c>
      <c r="O99" s="145">
        <f>IF(OR(L99="",L99="PENDING"),"",IF(L99="P",0,M99-I99))</f>
        <v/>
      </c>
    </row>
    <row r="100" ht="18" customHeight="1" s="91">
      <c r="A100" s="131">
        <f>IF(C100="","",ROW()-7)</f>
        <v/>
      </c>
      <c r="B100" s="132" t="n"/>
      <c r="C100" s="132" t="n"/>
      <c r="D100" s="133" t="n"/>
      <c r="E100" s="133" t="n"/>
      <c r="F100" s="132" t="n"/>
      <c r="G100" s="134" t="n"/>
      <c r="H100" s="132" t="n"/>
      <c r="I100" s="135" t="n"/>
      <c r="J100" s="136" t="n"/>
      <c r="K100" s="132" t="n"/>
      <c r="L100" s="132" t="n"/>
      <c r="M100" s="137">
        <f>IF(OR(L100="",L100="PENDING"),"",IF(L100="P",I100,IF(L100="L",0,IF(G100&lt;0,I100+I100*100/ABS(G100),I100+I100*G100/100))))</f>
        <v/>
      </c>
      <c r="N100" s="138">
        <f>IF(OR(L100="",L100="PENDING"),"",IF(L100="P",0,IF(L100="L",-J100,IF(G100&lt;0,J100*100/ABS(G100),J100*G100/100))))</f>
        <v/>
      </c>
      <c r="O100" s="137">
        <f>IF(OR(L100="",L100="PENDING"),"",IF(L100="P",0,M100-I100))</f>
        <v/>
      </c>
    </row>
    <row r="101" ht="18" customHeight="1" s="91">
      <c r="A101" s="139">
        <f>IF(C101="","",ROW()-7)</f>
        <v/>
      </c>
      <c r="B101" s="140" t="n"/>
      <c r="C101" s="140" t="n"/>
      <c r="D101" s="141" t="n"/>
      <c r="E101" s="141" t="n"/>
      <c r="F101" s="140" t="n"/>
      <c r="G101" s="142" t="n"/>
      <c r="H101" s="140" t="n"/>
      <c r="I101" s="143" t="n"/>
      <c r="J101" s="144" t="n"/>
      <c r="K101" s="140" t="n"/>
      <c r="L101" s="140" t="n"/>
      <c r="M101" s="145">
        <f>IF(OR(L101="",L101="PENDING"),"",IF(L101="P",I101,IF(L101="L",0,IF(G101&lt;0,I101+I101*100/ABS(G101),I101+I101*G101/100))))</f>
        <v/>
      </c>
      <c r="N101" s="146">
        <f>IF(OR(L101="",L101="PENDING"),"",IF(L101="P",0,IF(L101="L",-J101,IF(G101&lt;0,J101*100/ABS(G101),J101*G101/100))))</f>
        <v/>
      </c>
      <c r="O101" s="145">
        <f>IF(OR(L101="",L101="PENDING"),"",IF(L101="P",0,M101-I101))</f>
        <v/>
      </c>
    </row>
    <row r="102" ht="18" customHeight="1" s="91">
      <c r="A102" s="131">
        <f>IF(C102="","",ROW()-7)</f>
        <v/>
      </c>
      <c r="B102" s="132" t="n"/>
      <c r="C102" s="132" t="n"/>
      <c r="D102" s="133" t="n"/>
      <c r="E102" s="133" t="n"/>
      <c r="F102" s="132" t="n"/>
      <c r="G102" s="134" t="n"/>
      <c r="H102" s="132" t="n"/>
      <c r="I102" s="135" t="n"/>
      <c r="J102" s="136" t="n"/>
      <c r="K102" s="132" t="n"/>
      <c r="L102" s="132" t="n"/>
      <c r="M102" s="137">
        <f>IF(OR(L102="",L102="PENDING"),"",IF(L102="P",I102,IF(L102="L",0,IF(G102&lt;0,I102+I102*100/ABS(G102),I102+I102*G102/100))))</f>
        <v/>
      </c>
      <c r="N102" s="138">
        <f>IF(OR(L102="",L102="PENDING"),"",IF(L102="P",0,IF(L102="L",-J102,IF(G102&lt;0,J102*100/ABS(G102),J102*G102/100))))</f>
        <v/>
      </c>
      <c r="O102" s="137">
        <f>IF(OR(L102="",L102="PENDING"),"",IF(L102="P",0,M102-I102))</f>
        <v/>
      </c>
    </row>
    <row r="103" ht="18" customHeight="1" s="91">
      <c r="A103" s="139">
        <f>IF(C103="","",ROW()-7)</f>
        <v/>
      </c>
      <c r="B103" s="140" t="n"/>
      <c r="C103" s="140" t="n"/>
      <c r="D103" s="141" t="n"/>
      <c r="E103" s="141" t="n"/>
      <c r="F103" s="140" t="n"/>
      <c r="G103" s="142" t="n"/>
      <c r="H103" s="140" t="n"/>
      <c r="I103" s="143" t="n"/>
      <c r="J103" s="144" t="n"/>
      <c r="K103" s="140" t="n"/>
      <c r="L103" s="140" t="n"/>
      <c r="M103" s="145">
        <f>IF(OR(L103="",L103="PENDING"),"",IF(L103="P",I103,IF(L103="L",0,IF(G103&lt;0,I103+I103*100/ABS(G103),I103+I103*G103/100))))</f>
        <v/>
      </c>
      <c r="N103" s="146">
        <f>IF(OR(L103="",L103="PENDING"),"",IF(L103="P",0,IF(L103="L",-J103,IF(G103&lt;0,J103*100/ABS(G103),J103*G103/100))))</f>
        <v/>
      </c>
      <c r="O103" s="145">
        <f>IF(OR(L103="",L103="PENDING"),"",IF(L103="P",0,M103-I103))</f>
        <v/>
      </c>
    </row>
    <row r="104" ht="18" customHeight="1" s="91">
      <c r="A104" s="131">
        <f>IF(C104="","",ROW()-7)</f>
        <v/>
      </c>
      <c r="B104" s="132" t="n"/>
      <c r="C104" s="132" t="n"/>
      <c r="D104" s="133" t="n"/>
      <c r="E104" s="133" t="n"/>
      <c r="F104" s="132" t="n"/>
      <c r="G104" s="134" t="n"/>
      <c r="H104" s="132" t="n"/>
      <c r="I104" s="135" t="n"/>
      <c r="J104" s="136" t="n"/>
      <c r="K104" s="132" t="n"/>
      <c r="L104" s="132" t="n"/>
      <c r="M104" s="137">
        <f>IF(OR(L104="",L104="PENDING"),"",IF(L104="P",I104,IF(L104="L",0,IF(G104&lt;0,I104+I104*100/ABS(G104),I104+I104*G104/100))))</f>
        <v/>
      </c>
      <c r="N104" s="138">
        <f>IF(OR(L104="",L104="PENDING"),"",IF(L104="P",0,IF(L104="L",-J104,IF(G104&lt;0,J104*100/ABS(G104),J104*G104/100))))</f>
        <v/>
      </c>
      <c r="O104" s="137">
        <f>IF(OR(L104="",L104="PENDING"),"",IF(L104="P",0,M104-I104))</f>
        <v/>
      </c>
    </row>
    <row r="105" ht="18" customHeight="1" s="91">
      <c r="A105" s="139">
        <f>IF(C105="","",ROW()-7)</f>
        <v/>
      </c>
      <c r="B105" s="140" t="n"/>
      <c r="C105" s="140" t="n"/>
      <c r="D105" s="141" t="n"/>
      <c r="E105" s="141" t="n"/>
      <c r="F105" s="140" t="n"/>
      <c r="G105" s="142" t="n"/>
      <c r="H105" s="140" t="n"/>
      <c r="I105" s="143" t="n"/>
      <c r="J105" s="144" t="n"/>
      <c r="K105" s="140" t="n"/>
      <c r="L105" s="140" t="n"/>
      <c r="M105" s="145">
        <f>IF(OR(L105="",L105="PENDING"),"",IF(L105="P",I105,IF(L105="L",0,IF(G105&lt;0,I105+I105*100/ABS(G105),I105+I105*G105/100))))</f>
        <v/>
      </c>
      <c r="N105" s="146">
        <f>IF(OR(L105="",L105="PENDING"),"",IF(L105="P",0,IF(L105="L",-J105,IF(G105&lt;0,J105*100/ABS(G105),J105*G105/100))))</f>
        <v/>
      </c>
      <c r="O105" s="145">
        <f>IF(OR(L105="",L105="PENDING"),"",IF(L105="P",0,M105-I105))</f>
        <v/>
      </c>
    </row>
    <row r="106" ht="18" customHeight="1" s="91">
      <c r="A106" s="131">
        <f>IF(C106="","",ROW()-7)</f>
        <v/>
      </c>
      <c r="B106" s="132" t="n"/>
      <c r="C106" s="132" t="n"/>
      <c r="D106" s="133" t="n"/>
      <c r="E106" s="133" t="n"/>
      <c r="F106" s="132" t="n"/>
      <c r="G106" s="134" t="n"/>
      <c r="H106" s="132" t="n"/>
      <c r="I106" s="135" t="n"/>
      <c r="J106" s="136" t="n"/>
      <c r="K106" s="132" t="n"/>
      <c r="L106" s="132" t="n"/>
      <c r="M106" s="137">
        <f>IF(OR(L106="",L106="PENDING"),"",IF(L106="P",I106,IF(L106="L",0,IF(G106&lt;0,I106+I106*100/ABS(G106),I106+I106*G106/100))))</f>
        <v/>
      </c>
      <c r="N106" s="138">
        <f>IF(OR(L106="",L106="PENDING"),"",IF(L106="P",0,IF(L106="L",-J106,IF(G106&lt;0,J106*100/ABS(G106),J106*G106/100))))</f>
        <v/>
      </c>
      <c r="O106" s="137">
        <f>IF(OR(L106="",L106="PENDING"),"",IF(L106="P",0,M106-I106))</f>
        <v/>
      </c>
    </row>
    <row r="107" ht="18" customHeight="1" s="91">
      <c r="A107" s="139">
        <f>IF(C107="","",ROW()-7)</f>
        <v/>
      </c>
      <c r="B107" s="140" t="n"/>
      <c r="C107" s="140" t="n"/>
      <c r="D107" s="141" t="n"/>
      <c r="E107" s="141" t="n"/>
      <c r="F107" s="140" t="n"/>
      <c r="G107" s="142" t="n"/>
      <c r="H107" s="140" t="n"/>
      <c r="I107" s="143" t="n"/>
      <c r="J107" s="144" t="n"/>
      <c r="K107" s="140" t="n"/>
      <c r="L107" s="140" t="n"/>
      <c r="M107" s="145">
        <f>IF(OR(L107="",L107="PENDING"),"",IF(L107="P",I107,IF(L107="L",0,IF(G107&lt;0,I107+I107*100/ABS(G107),I107+I107*G107/100))))</f>
        <v/>
      </c>
      <c r="N107" s="146">
        <f>IF(OR(L107="",L107="PENDING"),"",IF(L107="P",0,IF(L107="L",-J107,IF(G107&lt;0,J107*100/ABS(G107),J107*G107/100))))</f>
        <v/>
      </c>
      <c r="O107" s="145">
        <f>IF(OR(L107="",L107="PENDING"),"",IF(L107="P",0,M107-I107))</f>
        <v/>
      </c>
    </row>
    <row r="108" ht="18" customHeight="1" s="91">
      <c r="A108" s="131">
        <f>IF(C108="","",ROW()-7)</f>
        <v/>
      </c>
      <c r="B108" s="132" t="n"/>
      <c r="C108" s="132" t="n"/>
      <c r="D108" s="133" t="n"/>
      <c r="E108" s="133" t="n"/>
      <c r="F108" s="132" t="n"/>
      <c r="G108" s="134" t="n"/>
      <c r="H108" s="132" t="n"/>
      <c r="I108" s="135" t="n"/>
      <c r="J108" s="136" t="n"/>
      <c r="K108" s="132" t="n"/>
      <c r="L108" s="132" t="n"/>
      <c r="M108" s="137">
        <f>IF(OR(L108="",L108="PENDING"),"",IF(L108="P",I108,IF(L108="L",0,IF(G108&lt;0,I108+I108*100/ABS(G108),I108+I108*G108/100))))</f>
        <v/>
      </c>
      <c r="N108" s="138">
        <f>IF(OR(L108="",L108="PENDING"),"",IF(L108="P",0,IF(L108="L",-J108,IF(G108&lt;0,J108*100/ABS(G108),J108*G108/100))))</f>
        <v/>
      </c>
      <c r="O108" s="137">
        <f>IF(OR(L108="",L108="PENDING"),"",IF(L108="P",0,M108-I108))</f>
        <v/>
      </c>
    </row>
    <row r="109" ht="18" customHeight="1" s="91">
      <c r="A109" s="139">
        <f>IF(C109="","",ROW()-7)</f>
        <v/>
      </c>
      <c r="B109" s="140" t="n"/>
      <c r="C109" s="140" t="n"/>
      <c r="D109" s="141" t="n"/>
      <c r="E109" s="141" t="n"/>
      <c r="F109" s="140" t="n"/>
      <c r="G109" s="142" t="n"/>
      <c r="H109" s="140" t="n"/>
      <c r="I109" s="143" t="n"/>
      <c r="J109" s="144" t="n"/>
      <c r="K109" s="140" t="n"/>
      <c r="L109" s="140" t="n"/>
      <c r="M109" s="145">
        <f>IF(OR(L109="",L109="PENDING"),"",IF(L109="P",I109,IF(L109="L",0,IF(G109&lt;0,I109+I109*100/ABS(G109),I109+I109*G109/100))))</f>
        <v/>
      </c>
      <c r="N109" s="146">
        <f>IF(OR(L109="",L109="PENDING"),"",IF(L109="P",0,IF(L109="L",-J109,IF(G109&lt;0,J109*100/ABS(G109),J109*G109/100))))</f>
        <v/>
      </c>
      <c r="O109" s="145">
        <f>IF(OR(L109="",L109="PENDING"),"",IF(L109="P",0,M109-I109))</f>
        <v/>
      </c>
    </row>
    <row r="110" ht="18" customHeight="1" s="91">
      <c r="A110" s="131">
        <f>IF(C110="","",ROW()-7)</f>
        <v/>
      </c>
      <c r="B110" s="132" t="n"/>
      <c r="C110" s="132" t="n"/>
      <c r="D110" s="133" t="n"/>
      <c r="E110" s="133" t="n"/>
      <c r="F110" s="132" t="n"/>
      <c r="G110" s="134" t="n"/>
      <c r="H110" s="132" t="n"/>
      <c r="I110" s="135" t="n"/>
      <c r="J110" s="136" t="n"/>
      <c r="K110" s="132" t="n"/>
      <c r="L110" s="132" t="n"/>
      <c r="M110" s="137">
        <f>IF(OR(L110="",L110="PENDING"),"",IF(L110="P",I110,IF(L110="L",0,IF(G110&lt;0,I110+I110*100/ABS(G110),I110+I110*G110/100))))</f>
        <v/>
      </c>
      <c r="N110" s="138">
        <f>IF(OR(L110="",L110="PENDING"),"",IF(L110="P",0,IF(L110="L",-J110,IF(G110&lt;0,J110*100/ABS(G110),J110*G110/100))))</f>
        <v/>
      </c>
      <c r="O110" s="137">
        <f>IF(OR(L110="",L110="PENDING"),"",IF(L110="P",0,M110-I110))</f>
        <v/>
      </c>
    </row>
    <row r="111" ht="18" customHeight="1" s="91">
      <c r="A111" s="139">
        <f>IF(C111="","",ROW()-7)</f>
        <v/>
      </c>
      <c r="B111" s="140" t="n"/>
      <c r="C111" s="140" t="n"/>
      <c r="D111" s="141" t="n"/>
      <c r="E111" s="141" t="n"/>
      <c r="F111" s="140" t="n"/>
      <c r="G111" s="142" t="n"/>
      <c r="H111" s="140" t="n"/>
      <c r="I111" s="143" t="n"/>
      <c r="J111" s="144" t="n"/>
      <c r="K111" s="140" t="n"/>
      <c r="L111" s="140" t="n"/>
      <c r="M111" s="145">
        <f>IF(OR(L111="",L111="PENDING"),"",IF(L111="P",I111,IF(L111="L",0,IF(G111&lt;0,I111+I111*100/ABS(G111),I111+I111*G111/100))))</f>
        <v/>
      </c>
      <c r="N111" s="146">
        <f>IF(OR(L111="",L111="PENDING"),"",IF(L111="P",0,IF(L111="L",-J111,IF(G111&lt;0,J111*100/ABS(G111),J111*G111/100))))</f>
        <v/>
      </c>
      <c r="O111" s="145">
        <f>IF(OR(L111="",L111="PENDING"),"",IF(L111="P",0,M111-I111))</f>
        <v/>
      </c>
    </row>
    <row r="112" ht="18" customHeight="1" s="91">
      <c r="A112" s="131">
        <f>IF(C112="","",ROW()-7)</f>
        <v/>
      </c>
      <c r="B112" s="132" t="n"/>
      <c r="C112" s="132" t="n"/>
      <c r="D112" s="133" t="n"/>
      <c r="E112" s="133" t="n"/>
      <c r="F112" s="132" t="n"/>
      <c r="G112" s="134" t="n"/>
      <c r="H112" s="132" t="n"/>
      <c r="I112" s="135" t="n"/>
      <c r="J112" s="136" t="n"/>
      <c r="K112" s="132" t="n"/>
      <c r="L112" s="132" t="n"/>
      <c r="M112" s="137">
        <f>IF(OR(L112="",L112="PENDING"),"",IF(L112="P",I112,IF(L112="L",0,IF(G112&lt;0,I112+I112*100/ABS(G112),I112+I112*G112/100))))</f>
        <v/>
      </c>
      <c r="N112" s="138">
        <f>IF(OR(L112="",L112="PENDING"),"",IF(L112="P",0,IF(L112="L",-J112,IF(G112&lt;0,J112*100/ABS(G112),J112*G112/100))))</f>
        <v/>
      </c>
      <c r="O112" s="137">
        <f>IF(OR(L112="",L112="PENDING"),"",IF(L112="P",0,M112-I112))</f>
        <v/>
      </c>
    </row>
    <row r="113" ht="18" customHeight="1" s="91">
      <c r="A113" s="139">
        <f>IF(C113="","",ROW()-7)</f>
        <v/>
      </c>
      <c r="B113" s="140" t="n"/>
      <c r="C113" s="140" t="n"/>
      <c r="D113" s="141" t="n"/>
      <c r="E113" s="141" t="n"/>
      <c r="F113" s="140" t="n"/>
      <c r="G113" s="142" t="n"/>
      <c r="H113" s="140" t="n"/>
      <c r="I113" s="143" t="n"/>
      <c r="J113" s="144" t="n"/>
      <c r="K113" s="140" t="n"/>
      <c r="L113" s="140" t="n"/>
      <c r="M113" s="145">
        <f>IF(OR(L113="",L113="PENDING"),"",IF(L113="P",I113,IF(L113="L",0,IF(G113&lt;0,I113+I113*100/ABS(G113),I113+I113*G113/100))))</f>
        <v/>
      </c>
      <c r="N113" s="146">
        <f>IF(OR(L113="",L113="PENDING"),"",IF(L113="P",0,IF(L113="L",-J113,IF(G113&lt;0,J113*100/ABS(G113),J113*G113/100))))</f>
        <v/>
      </c>
      <c r="O113" s="145">
        <f>IF(OR(L113="",L113="PENDING"),"",IF(L113="P",0,M113-I113))</f>
        <v/>
      </c>
    </row>
    <row r="114" ht="18" customHeight="1" s="91">
      <c r="A114" s="131">
        <f>IF(C114="","",ROW()-7)</f>
        <v/>
      </c>
      <c r="B114" s="132" t="n"/>
      <c r="C114" s="132" t="n"/>
      <c r="D114" s="133" t="n"/>
      <c r="E114" s="133" t="n"/>
      <c r="F114" s="132" t="n"/>
      <c r="G114" s="134" t="n"/>
      <c r="H114" s="132" t="n"/>
      <c r="I114" s="135" t="n"/>
      <c r="J114" s="136" t="n"/>
      <c r="K114" s="132" t="n"/>
      <c r="L114" s="132" t="n"/>
      <c r="M114" s="137">
        <f>IF(OR(L114="",L114="PENDING"),"",IF(L114="P",I114,IF(L114="L",0,IF(G114&lt;0,I114+I114*100/ABS(G114),I114+I114*G114/100))))</f>
        <v/>
      </c>
      <c r="N114" s="138">
        <f>IF(OR(L114="",L114="PENDING"),"",IF(L114="P",0,IF(L114="L",-J114,IF(G114&lt;0,J114*100/ABS(G114),J114*G114/100))))</f>
        <v/>
      </c>
      <c r="O114" s="137">
        <f>IF(OR(L114="",L114="PENDING"),"",IF(L114="P",0,M114-I114))</f>
        <v/>
      </c>
    </row>
    <row r="115" ht="18" customHeight="1" s="91">
      <c r="A115" s="139">
        <f>IF(C115="","",ROW()-7)</f>
        <v/>
      </c>
      <c r="B115" s="140" t="n"/>
      <c r="C115" s="140" t="n"/>
      <c r="D115" s="141" t="n"/>
      <c r="E115" s="141" t="n"/>
      <c r="F115" s="140" t="n"/>
      <c r="G115" s="142" t="n"/>
      <c r="H115" s="140" t="n"/>
      <c r="I115" s="143" t="n"/>
      <c r="J115" s="144" t="n"/>
      <c r="K115" s="140" t="n"/>
      <c r="L115" s="140" t="n"/>
      <c r="M115" s="145">
        <f>IF(OR(L115="",L115="PENDING"),"",IF(L115="P",I115,IF(L115="L",0,IF(G115&lt;0,I115+I115*100/ABS(G115),I115+I115*G115/100))))</f>
        <v/>
      </c>
      <c r="N115" s="146">
        <f>IF(OR(L115="",L115="PENDING"),"",IF(L115="P",0,IF(L115="L",-J115,IF(G115&lt;0,J115*100/ABS(G115),J115*G115/100))))</f>
        <v/>
      </c>
      <c r="O115" s="145">
        <f>IF(OR(L115="",L115="PENDING"),"",IF(L115="P",0,M115-I115))</f>
        <v/>
      </c>
    </row>
    <row r="116" ht="18" customHeight="1" s="91">
      <c r="A116" s="131">
        <f>IF(C116="","",ROW()-7)</f>
        <v/>
      </c>
      <c r="B116" s="132" t="n"/>
      <c r="C116" s="132" t="n"/>
      <c r="D116" s="133" t="n"/>
      <c r="E116" s="133" t="n"/>
      <c r="F116" s="132" t="n"/>
      <c r="G116" s="134" t="n"/>
      <c r="H116" s="132" t="n"/>
      <c r="I116" s="135" t="n"/>
      <c r="J116" s="136" t="n"/>
      <c r="K116" s="132" t="n"/>
      <c r="L116" s="132" t="n"/>
      <c r="M116" s="137">
        <f>IF(OR(L116="",L116="PENDING"),"",IF(L116="P",I116,IF(L116="L",0,IF(G116&lt;0,I116+I116*100/ABS(G116),I116+I116*G116/100))))</f>
        <v/>
      </c>
      <c r="N116" s="138">
        <f>IF(OR(L116="",L116="PENDING"),"",IF(L116="P",0,IF(L116="L",-J116,IF(G116&lt;0,J116*100/ABS(G116),J116*G116/100))))</f>
        <v/>
      </c>
      <c r="O116" s="137">
        <f>IF(OR(L116="",L116="PENDING"),"",IF(L116="P",0,M116-I116))</f>
        <v/>
      </c>
    </row>
    <row r="117" ht="18" customHeight="1" s="91">
      <c r="A117" s="139">
        <f>IF(C117="","",ROW()-7)</f>
        <v/>
      </c>
      <c r="B117" s="140" t="n"/>
      <c r="C117" s="140" t="n"/>
      <c r="D117" s="141" t="n"/>
      <c r="E117" s="141" t="n"/>
      <c r="F117" s="140" t="n"/>
      <c r="G117" s="142" t="n"/>
      <c r="H117" s="140" t="n"/>
      <c r="I117" s="143" t="n"/>
      <c r="J117" s="144" t="n"/>
      <c r="K117" s="140" t="n"/>
      <c r="L117" s="140" t="n"/>
      <c r="M117" s="145">
        <f>IF(OR(L117="",L117="PENDING"),"",IF(L117="P",I117,IF(L117="L",0,IF(G117&lt;0,I117+I117*100/ABS(G117),I117+I117*G117/100))))</f>
        <v/>
      </c>
      <c r="N117" s="146">
        <f>IF(OR(L117="",L117="PENDING"),"",IF(L117="P",0,IF(L117="L",-J117,IF(G117&lt;0,J117*100/ABS(G117),J117*G117/100))))</f>
        <v/>
      </c>
      <c r="O117" s="145">
        <f>IF(OR(L117="",L117="PENDING"),"",IF(L117="P",0,M117-I117))</f>
        <v/>
      </c>
    </row>
    <row r="118" ht="18" customHeight="1" s="91">
      <c r="A118" s="131">
        <f>IF(C118="","",ROW()-7)</f>
        <v/>
      </c>
      <c r="B118" s="132" t="n"/>
      <c r="C118" s="132" t="n"/>
      <c r="D118" s="133" t="n"/>
      <c r="E118" s="133" t="n"/>
      <c r="F118" s="132" t="n"/>
      <c r="G118" s="134" t="n"/>
      <c r="H118" s="132" t="n"/>
      <c r="I118" s="135" t="n"/>
      <c r="J118" s="136" t="n"/>
      <c r="K118" s="132" t="n"/>
      <c r="L118" s="132" t="n"/>
      <c r="M118" s="137">
        <f>IF(OR(L118="",L118="PENDING"),"",IF(L118="P",I118,IF(L118="L",0,IF(G118&lt;0,I118+I118*100/ABS(G118),I118+I118*G118/100))))</f>
        <v/>
      </c>
      <c r="N118" s="138">
        <f>IF(OR(L118="",L118="PENDING"),"",IF(L118="P",0,IF(L118="L",-J118,IF(G118&lt;0,J118*100/ABS(G118),J118*G118/100))))</f>
        <v/>
      </c>
      <c r="O118" s="137">
        <f>IF(OR(L118="",L118="PENDING"),"",IF(L118="P",0,M118-I118))</f>
        <v/>
      </c>
    </row>
    <row r="119" ht="18" customHeight="1" s="91">
      <c r="A119" s="139">
        <f>IF(C119="","",ROW()-7)</f>
        <v/>
      </c>
      <c r="B119" s="140" t="n"/>
      <c r="C119" s="140" t="n"/>
      <c r="D119" s="141" t="n"/>
      <c r="E119" s="141" t="n"/>
      <c r="F119" s="140" t="n"/>
      <c r="G119" s="142" t="n"/>
      <c r="H119" s="140" t="n"/>
      <c r="I119" s="143" t="n"/>
      <c r="J119" s="144" t="n"/>
      <c r="K119" s="140" t="n"/>
      <c r="L119" s="140" t="n"/>
      <c r="M119" s="145">
        <f>IF(OR(L119="",L119="PENDING"),"",IF(L119="P",I119,IF(L119="L",0,IF(G119&lt;0,I119+I119*100/ABS(G119),I119+I119*G119/100))))</f>
        <v/>
      </c>
      <c r="N119" s="146">
        <f>IF(OR(L119="",L119="PENDING"),"",IF(L119="P",0,IF(L119="L",-J119,IF(G119&lt;0,J119*100/ABS(G119),J119*G119/100))))</f>
        <v/>
      </c>
      <c r="O119" s="145">
        <f>IF(OR(L119="",L119="PENDING"),"",IF(L119="P",0,M119-I119))</f>
        <v/>
      </c>
    </row>
    <row r="120" ht="18" customHeight="1" s="91">
      <c r="A120" s="131">
        <f>IF(C120="","",ROW()-7)</f>
        <v/>
      </c>
      <c r="B120" s="132" t="n"/>
      <c r="C120" s="132" t="n"/>
      <c r="D120" s="133" t="n"/>
      <c r="E120" s="133" t="n"/>
      <c r="F120" s="132" t="n"/>
      <c r="G120" s="134" t="n"/>
      <c r="H120" s="132" t="n"/>
      <c r="I120" s="135" t="n"/>
      <c r="J120" s="136" t="n"/>
      <c r="K120" s="132" t="n"/>
      <c r="L120" s="132" t="n"/>
      <c r="M120" s="137">
        <f>IF(OR(L120="",L120="PENDING"),"",IF(L120="P",I120,IF(L120="L",0,IF(G120&lt;0,I120+I120*100/ABS(G120),I120+I120*G120/100))))</f>
        <v/>
      </c>
      <c r="N120" s="138">
        <f>IF(OR(L120="",L120="PENDING"),"",IF(L120="P",0,IF(L120="L",-J120,IF(G120&lt;0,J120*100/ABS(G120),J120*G120/100))))</f>
        <v/>
      </c>
      <c r="O120" s="137">
        <f>IF(OR(L120="",L120="PENDING"),"",IF(L120="P",0,M120-I120))</f>
        <v/>
      </c>
    </row>
    <row r="121" ht="18" customHeight="1" s="91">
      <c r="A121" s="139">
        <f>IF(C121="","",ROW()-7)</f>
        <v/>
      </c>
      <c r="B121" s="140" t="n"/>
      <c r="C121" s="140" t="n"/>
      <c r="D121" s="141" t="n"/>
      <c r="E121" s="141" t="n"/>
      <c r="F121" s="140" t="n"/>
      <c r="G121" s="142" t="n"/>
      <c r="H121" s="140" t="n"/>
      <c r="I121" s="143" t="n"/>
      <c r="J121" s="144" t="n"/>
      <c r="K121" s="140" t="n"/>
      <c r="L121" s="140" t="n"/>
      <c r="M121" s="145">
        <f>IF(OR(L121="",L121="PENDING"),"",IF(L121="P",I121,IF(L121="L",0,IF(G121&lt;0,I121+I121*100/ABS(G121),I121+I121*G121/100))))</f>
        <v/>
      </c>
      <c r="N121" s="146">
        <f>IF(OR(L121="",L121="PENDING"),"",IF(L121="P",0,IF(L121="L",-J121,IF(G121&lt;0,J121*100/ABS(G121),J121*G121/100))))</f>
        <v/>
      </c>
      <c r="O121" s="145">
        <f>IF(OR(L121="",L121="PENDING"),"",IF(L121="P",0,M121-I121))</f>
        <v/>
      </c>
    </row>
    <row r="122" ht="18" customHeight="1" s="91">
      <c r="A122" s="131">
        <f>IF(C122="","",ROW()-7)</f>
        <v/>
      </c>
      <c r="B122" s="132" t="n"/>
      <c r="C122" s="132" t="n"/>
      <c r="D122" s="133" t="n"/>
      <c r="E122" s="133" t="n"/>
      <c r="F122" s="132" t="n"/>
      <c r="G122" s="134" t="n"/>
      <c r="H122" s="132" t="n"/>
      <c r="I122" s="135" t="n"/>
      <c r="J122" s="136" t="n"/>
      <c r="K122" s="132" t="n"/>
      <c r="L122" s="132" t="n"/>
      <c r="M122" s="137">
        <f>IF(OR(L122="",L122="PENDING"),"",IF(L122="P",I122,IF(L122="L",0,IF(G122&lt;0,I122+I122*100/ABS(G122),I122+I122*G122/100))))</f>
        <v/>
      </c>
      <c r="N122" s="138">
        <f>IF(OR(L122="",L122="PENDING"),"",IF(L122="P",0,IF(L122="L",-J122,IF(G122&lt;0,J122*100/ABS(G122),J122*G122/100))))</f>
        <v/>
      </c>
      <c r="O122" s="137">
        <f>IF(OR(L122="",L122="PENDING"),"",IF(L122="P",0,M122-I122))</f>
        <v/>
      </c>
    </row>
    <row r="123" ht="18" customHeight="1" s="91">
      <c r="A123" s="139">
        <f>IF(C123="","",ROW()-7)</f>
        <v/>
      </c>
      <c r="B123" s="140" t="n"/>
      <c r="C123" s="140" t="n"/>
      <c r="D123" s="141" t="n"/>
      <c r="E123" s="141" t="n"/>
      <c r="F123" s="140" t="n"/>
      <c r="G123" s="142" t="n"/>
      <c r="H123" s="140" t="n"/>
      <c r="I123" s="143" t="n"/>
      <c r="J123" s="144" t="n"/>
      <c r="K123" s="140" t="n"/>
      <c r="L123" s="140" t="n"/>
      <c r="M123" s="145">
        <f>IF(OR(L123="",L123="PENDING"),"",IF(L123="P",I123,IF(L123="L",0,IF(G123&lt;0,I123+I123*100/ABS(G123),I123+I123*G123/100))))</f>
        <v/>
      </c>
      <c r="N123" s="146">
        <f>IF(OR(L123="",L123="PENDING"),"",IF(L123="P",0,IF(L123="L",-J123,IF(G123&lt;0,J123*100/ABS(G123),J123*G123/100))))</f>
        <v/>
      </c>
      <c r="O123" s="145">
        <f>IF(OR(L123="",L123="PENDING"),"",IF(L123="P",0,M123-I123))</f>
        <v/>
      </c>
    </row>
    <row r="124" ht="18" customHeight="1" s="91">
      <c r="A124" s="131">
        <f>IF(C124="","",ROW()-7)</f>
        <v/>
      </c>
      <c r="B124" s="132" t="n"/>
      <c r="C124" s="132" t="n"/>
      <c r="D124" s="133" t="n"/>
      <c r="E124" s="133" t="n"/>
      <c r="F124" s="132" t="n"/>
      <c r="G124" s="134" t="n"/>
      <c r="H124" s="132" t="n"/>
      <c r="I124" s="135" t="n"/>
      <c r="J124" s="136" t="n"/>
      <c r="K124" s="132" t="n"/>
      <c r="L124" s="132" t="n"/>
      <c r="M124" s="137">
        <f>IF(OR(L124="",L124="PENDING"),"",IF(L124="P",I124,IF(L124="L",0,IF(G124&lt;0,I124+I124*100/ABS(G124),I124+I124*G124/100))))</f>
        <v/>
      </c>
      <c r="N124" s="138">
        <f>IF(OR(L124="",L124="PENDING"),"",IF(L124="P",0,IF(L124="L",-J124,IF(G124&lt;0,J124*100/ABS(G124),J124*G124/100))))</f>
        <v/>
      </c>
      <c r="O124" s="137">
        <f>IF(OR(L124="",L124="PENDING"),"",IF(L124="P",0,M124-I124))</f>
        <v/>
      </c>
    </row>
    <row r="125" ht="18" customHeight="1" s="91">
      <c r="A125" s="139">
        <f>IF(C125="","",ROW()-7)</f>
        <v/>
      </c>
      <c r="B125" s="140" t="n"/>
      <c r="C125" s="140" t="n"/>
      <c r="D125" s="141" t="n"/>
      <c r="E125" s="141" t="n"/>
      <c r="F125" s="140" t="n"/>
      <c r="G125" s="142" t="n"/>
      <c r="H125" s="140" t="n"/>
      <c r="I125" s="143" t="n"/>
      <c r="J125" s="144" t="n"/>
      <c r="K125" s="140" t="n"/>
      <c r="L125" s="140" t="n"/>
      <c r="M125" s="145">
        <f>IF(OR(L125="",L125="PENDING"),"",IF(L125="P",I125,IF(L125="L",0,IF(G125&lt;0,I125+I125*100/ABS(G125),I125+I125*G125/100))))</f>
        <v/>
      </c>
      <c r="N125" s="146">
        <f>IF(OR(L125="",L125="PENDING"),"",IF(L125="P",0,IF(L125="L",-J125,IF(G125&lt;0,J125*100/ABS(G125),J125*G125/100))))</f>
        <v/>
      </c>
      <c r="O125" s="145">
        <f>IF(OR(L125="",L125="PENDING"),"",IF(L125="P",0,M125-I125))</f>
        <v/>
      </c>
    </row>
    <row r="126" ht="18" customHeight="1" s="91">
      <c r="A126" s="131">
        <f>IF(C126="","",ROW()-7)</f>
        <v/>
      </c>
      <c r="B126" s="132" t="n"/>
      <c r="C126" s="132" t="n"/>
      <c r="D126" s="133" t="n"/>
      <c r="E126" s="133" t="n"/>
      <c r="F126" s="132" t="n"/>
      <c r="G126" s="134" t="n"/>
      <c r="H126" s="132" t="n"/>
      <c r="I126" s="135" t="n"/>
      <c r="J126" s="136" t="n"/>
      <c r="K126" s="132" t="n"/>
      <c r="L126" s="132" t="n"/>
      <c r="M126" s="137">
        <f>IF(OR(L126="",L126="PENDING"),"",IF(L126="P",I126,IF(L126="L",0,IF(G126&lt;0,I126+I126*100/ABS(G126),I126+I126*G126/100))))</f>
        <v/>
      </c>
      <c r="N126" s="138">
        <f>IF(OR(L126="",L126="PENDING"),"",IF(L126="P",0,IF(L126="L",-J126,IF(G126&lt;0,J126*100/ABS(G126),J126*G126/100))))</f>
        <v/>
      </c>
      <c r="O126" s="137">
        <f>IF(OR(L126="",L126="PENDING"),"",IF(L126="P",0,M126-I126))</f>
        <v/>
      </c>
    </row>
    <row r="127" ht="18" customHeight="1" s="91">
      <c r="A127" s="139">
        <f>IF(C127="","",ROW()-7)</f>
        <v/>
      </c>
      <c r="B127" s="140" t="n"/>
      <c r="C127" s="140" t="n"/>
      <c r="D127" s="141" t="n"/>
      <c r="E127" s="141" t="n"/>
      <c r="F127" s="140" t="n"/>
      <c r="G127" s="142" t="n"/>
      <c r="H127" s="140" t="n"/>
      <c r="I127" s="143" t="n"/>
      <c r="J127" s="144" t="n"/>
      <c r="K127" s="140" t="n"/>
      <c r="L127" s="140" t="n"/>
      <c r="M127" s="145">
        <f>IF(OR(L127="",L127="PENDING"),"",IF(L127="P",I127,IF(L127="L",0,IF(G127&lt;0,I127+I127*100/ABS(G127),I127+I127*G127/100))))</f>
        <v/>
      </c>
      <c r="N127" s="146">
        <f>IF(OR(L127="",L127="PENDING"),"",IF(L127="P",0,IF(L127="L",-J127,IF(G127&lt;0,J127*100/ABS(G127),J127*G127/100))))</f>
        <v/>
      </c>
      <c r="O127" s="145">
        <f>IF(OR(L127="",L127="PENDING"),"",IF(L127="P",0,M127-I127))</f>
        <v/>
      </c>
    </row>
    <row r="128" ht="18" customHeight="1" s="91">
      <c r="A128" s="131">
        <f>IF(C128="","",ROW()-7)</f>
        <v/>
      </c>
      <c r="B128" s="132" t="n"/>
      <c r="C128" s="132" t="n"/>
      <c r="D128" s="133" t="n"/>
      <c r="E128" s="133" t="n"/>
      <c r="F128" s="132" t="n"/>
      <c r="G128" s="134" t="n"/>
      <c r="H128" s="132" t="n"/>
      <c r="I128" s="135" t="n"/>
      <c r="J128" s="136" t="n"/>
      <c r="K128" s="132" t="n"/>
      <c r="L128" s="132" t="n"/>
      <c r="M128" s="137">
        <f>IF(OR(L128="",L128="PENDING"),"",IF(L128="P",I128,IF(L128="L",0,IF(G128&lt;0,I128+I128*100/ABS(G128),I128+I128*G128/100))))</f>
        <v/>
      </c>
      <c r="N128" s="138">
        <f>IF(OR(L128="",L128="PENDING"),"",IF(L128="P",0,IF(L128="L",-J128,IF(G128&lt;0,J128*100/ABS(G128),J128*G128/100))))</f>
        <v/>
      </c>
      <c r="O128" s="137">
        <f>IF(OR(L128="",L128="PENDING"),"",IF(L128="P",0,M128-I128))</f>
        <v/>
      </c>
    </row>
    <row r="129" ht="18" customHeight="1" s="91">
      <c r="A129" s="139">
        <f>IF(C129="","",ROW()-7)</f>
        <v/>
      </c>
      <c r="B129" s="140" t="n"/>
      <c r="C129" s="140" t="n"/>
      <c r="D129" s="141" t="n"/>
      <c r="E129" s="141" t="n"/>
      <c r="F129" s="140" t="n"/>
      <c r="G129" s="142" t="n"/>
      <c r="H129" s="140" t="n"/>
      <c r="I129" s="143" t="n"/>
      <c r="J129" s="144" t="n"/>
      <c r="K129" s="140" t="n"/>
      <c r="L129" s="140" t="n"/>
      <c r="M129" s="145">
        <f>IF(OR(L129="",L129="PENDING"),"",IF(L129="P",I129,IF(L129="L",0,IF(G129&lt;0,I129+I129*100/ABS(G129),I129+I129*G129/100))))</f>
        <v/>
      </c>
      <c r="N129" s="146">
        <f>IF(OR(L129="",L129="PENDING"),"",IF(L129="P",0,IF(L129="L",-J129,IF(G129&lt;0,J129*100/ABS(G129),J129*G129/100))))</f>
        <v/>
      </c>
      <c r="O129" s="145">
        <f>IF(OR(L129="",L129="PENDING"),"",IF(L129="P",0,M129-I129))</f>
        <v/>
      </c>
    </row>
    <row r="130" ht="18" customHeight="1" s="91">
      <c r="A130" s="131">
        <f>IF(C130="","",ROW()-7)</f>
        <v/>
      </c>
      <c r="B130" s="132" t="n"/>
      <c r="C130" s="132" t="n"/>
      <c r="D130" s="133" t="n"/>
      <c r="E130" s="133" t="n"/>
      <c r="F130" s="132" t="n"/>
      <c r="G130" s="134" t="n"/>
      <c r="H130" s="132" t="n"/>
      <c r="I130" s="135" t="n"/>
      <c r="J130" s="136" t="n"/>
      <c r="K130" s="132" t="n"/>
      <c r="L130" s="132" t="n"/>
      <c r="M130" s="137">
        <f>IF(OR(L130="",L130="PENDING"),"",IF(L130="P",I130,IF(L130="L",0,IF(G130&lt;0,I130+I130*100/ABS(G130),I130+I130*G130/100))))</f>
        <v/>
      </c>
      <c r="N130" s="138">
        <f>IF(OR(L130="",L130="PENDING"),"",IF(L130="P",0,IF(L130="L",-J130,IF(G130&lt;0,J130*100/ABS(G130),J130*G130/100))))</f>
        <v/>
      </c>
      <c r="O130" s="137">
        <f>IF(OR(L130="",L130="PENDING"),"",IF(L130="P",0,M130-I130))</f>
        <v/>
      </c>
    </row>
    <row r="131" ht="18" customHeight="1" s="91">
      <c r="A131" s="139">
        <f>IF(C131="","",ROW()-7)</f>
        <v/>
      </c>
      <c r="B131" s="140" t="n"/>
      <c r="C131" s="140" t="n"/>
      <c r="D131" s="141" t="n"/>
      <c r="E131" s="141" t="n"/>
      <c r="F131" s="140" t="n"/>
      <c r="G131" s="142" t="n"/>
      <c r="H131" s="140" t="n"/>
      <c r="I131" s="143" t="n"/>
      <c r="J131" s="144" t="n"/>
      <c r="K131" s="140" t="n"/>
      <c r="L131" s="140" t="n"/>
      <c r="M131" s="145">
        <f>IF(OR(L131="",L131="PENDING"),"",IF(L131="P",I131,IF(L131="L",0,IF(G131&lt;0,I131+I131*100/ABS(G131),I131+I131*G131/100))))</f>
        <v/>
      </c>
      <c r="N131" s="146">
        <f>IF(OR(L131="",L131="PENDING"),"",IF(L131="P",0,IF(L131="L",-J131,IF(G131&lt;0,J131*100/ABS(G131),J131*G131/100))))</f>
        <v/>
      </c>
      <c r="O131" s="145">
        <f>IF(OR(L131="",L131="PENDING"),"",IF(L131="P",0,M131-I131))</f>
        <v/>
      </c>
    </row>
    <row r="132" ht="18" customHeight="1" s="91">
      <c r="A132" s="131">
        <f>IF(C132="","",ROW()-7)</f>
        <v/>
      </c>
      <c r="B132" s="132" t="n"/>
      <c r="C132" s="132" t="n"/>
      <c r="D132" s="133" t="n"/>
      <c r="E132" s="133" t="n"/>
      <c r="F132" s="132" t="n"/>
      <c r="G132" s="134" t="n"/>
      <c r="H132" s="132" t="n"/>
      <c r="I132" s="135" t="n"/>
      <c r="J132" s="136" t="n"/>
      <c r="K132" s="132" t="n"/>
      <c r="L132" s="132" t="n"/>
      <c r="M132" s="137">
        <f>IF(OR(L132="",L132="PENDING"),"",IF(L132="P",I132,IF(L132="L",0,IF(G132&lt;0,I132+I132*100/ABS(G132),I132+I132*G132/100))))</f>
        <v/>
      </c>
      <c r="N132" s="138">
        <f>IF(OR(L132="",L132="PENDING"),"",IF(L132="P",0,IF(L132="L",-J132,IF(G132&lt;0,J132*100/ABS(G132),J132*G132/100))))</f>
        <v/>
      </c>
      <c r="O132" s="137">
        <f>IF(OR(L132="",L132="PENDING"),"",IF(L132="P",0,M132-I132))</f>
        <v/>
      </c>
    </row>
    <row r="133" ht="18" customHeight="1" s="91">
      <c r="A133" s="139">
        <f>IF(C133="","",ROW()-7)</f>
        <v/>
      </c>
      <c r="B133" s="140" t="n"/>
      <c r="C133" s="140" t="n"/>
      <c r="D133" s="141" t="n"/>
      <c r="E133" s="141" t="n"/>
      <c r="F133" s="140" t="n"/>
      <c r="G133" s="142" t="n"/>
      <c r="H133" s="140" t="n"/>
      <c r="I133" s="143" t="n"/>
      <c r="J133" s="144" t="n"/>
      <c r="K133" s="140" t="n"/>
      <c r="L133" s="140" t="n"/>
      <c r="M133" s="145">
        <f>IF(OR(L133="",L133="PENDING"),"",IF(L133="P",I133,IF(L133="L",0,IF(G133&lt;0,I133+I133*100/ABS(G133),I133+I133*G133/100))))</f>
        <v/>
      </c>
      <c r="N133" s="146">
        <f>IF(OR(L133="",L133="PENDING"),"",IF(L133="P",0,IF(L133="L",-J133,IF(G133&lt;0,J133*100/ABS(G133),J133*G133/100))))</f>
        <v/>
      </c>
      <c r="O133" s="145">
        <f>IF(OR(L133="",L133="PENDING"),"",IF(L133="P",0,M133-I133))</f>
        <v/>
      </c>
    </row>
    <row r="134" ht="18" customHeight="1" s="91">
      <c r="A134" s="131">
        <f>IF(C134="","",ROW()-7)</f>
        <v/>
      </c>
      <c r="B134" s="132" t="n"/>
      <c r="C134" s="132" t="n"/>
      <c r="D134" s="133" t="n"/>
      <c r="E134" s="133" t="n"/>
      <c r="F134" s="132" t="n"/>
      <c r="G134" s="134" t="n"/>
      <c r="H134" s="132" t="n"/>
      <c r="I134" s="135" t="n"/>
      <c r="J134" s="136" t="n"/>
      <c r="K134" s="132" t="n"/>
      <c r="L134" s="132" t="n"/>
      <c r="M134" s="137">
        <f>IF(OR(L134="",L134="PENDING"),"",IF(L134="P",I134,IF(L134="L",0,IF(G134&lt;0,I134+I134*100/ABS(G134),I134+I134*G134/100))))</f>
        <v/>
      </c>
      <c r="N134" s="138">
        <f>IF(OR(L134="",L134="PENDING"),"",IF(L134="P",0,IF(L134="L",-J134,IF(G134&lt;0,J134*100/ABS(G134),J134*G134/100))))</f>
        <v/>
      </c>
      <c r="O134" s="137">
        <f>IF(OR(L134="",L134="PENDING"),"",IF(L134="P",0,M134-I134))</f>
        <v/>
      </c>
    </row>
    <row r="135" ht="18" customHeight="1" s="91">
      <c r="A135" s="139">
        <f>IF(C135="","",ROW()-7)</f>
        <v/>
      </c>
      <c r="B135" s="140" t="n"/>
      <c r="C135" s="140" t="n"/>
      <c r="D135" s="141" t="n"/>
      <c r="E135" s="141" t="n"/>
      <c r="F135" s="140" t="n"/>
      <c r="G135" s="142" t="n"/>
      <c r="H135" s="140" t="n"/>
      <c r="I135" s="143" t="n"/>
      <c r="J135" s="144" t="n"/>
      <c r="K135" s="140" t="n"/>
      <c r="L135" s="140" t="n"/>
      <c r="M135" s="145">
        <f>IF(OR(L135="",L135="PENDING"),"",IF(L135="P",I135,IF(L135="L",0,IF(G135&lt;0,I135+I135*100/ABS(G135),I135+I135*G135/100))))</f>
        <v/>
      </c>
      <c r="N135" s="146">
        <f>IF(OR(L135="",L135="PENDING"),"",IF(L135="P",0,IF(L135="L",-J135,IF(G135&lt;0,J135*100/ABS(G135),J135*G135/100))))</f>
        <v/>
      </c>
      <c r="O135" s="145">
        <f>IF(OR(L135="",L135="PENDING"),"",IF(L135="P",0,M135-I135))</f>
        <v/>
      </c>
    </row>
    <row r="136" ht="18" customHeight="1" s="91">
      <c r="A136" s="131">
        <f>IF(C136="","",ROW()-7)</f>
        <v/>
      </c>
      <c r="B136" s="132" t="n"/>
      <c r="C136" s="132" t="n"/>
      <c r="D136" s="133" t="n"/>
      <c r="E136" s="133" t="n"/>
      <c r="F136" s="132" t="n"/>
      <c r="G136" s="134" t="n"/>
      <c r="H136" s="132" t="n"/>
      <c r="I136" s="135" t="n"/>
      <c r="J136" s="136" t="n"/>
      <c r="K136" s="132" t="n"/>
      <c r="L136" s="132" t="n"/>
      <c r="M136" s="137">
        <f>IF(OR(L136="",L136="PENDING"),"",IF(L136="P",I136,IF(L136="L",0,IF(G136&lt;0,I136+I136*100/ABS(G136),I136+I136*G136/100))))</f>
        <v/>
      </c>
      <c r="N136" s="138">
        <f>IF(OR(L136="",L136="PENDING"),"",IF(L136="P",0,IF(L136="L",-J136,IF(G136&lt;0,J136*100/ABS(G136),J136*G136/100))))</f>
        <v/>
      </c>
      <c r="O136" s="137">
        <f>IF(OR(L136="",L136="PENDING"),"",IF(L136="P",0,M136-I136))</f>
        <v/>
      </c>
    </row>
    <row r="137" ht="18" customHeight="1" s="91">
      <c r="A137" s="139">
        <f>IF(C137="","",ROW()-7)</f>
        <v/>
      </c>
      <c r="B137" s="140" t="n"/>
      <c r="C137" s="140" t="n"/>
      <c r="D137" s="141" t="n"/>
      <c r="E137" s="141" t="n"/>
      <c r="F137" s="140" t="n"/>
      <c r="G137" s="142" t="n"/>
      <c r="H137" s="140" t="n"/>
      <c r="I137" s="143" t="n"/>
      <c r="J137" s="144" t="n"/>
      <c r="K137" s="140" t="n"/>
      <c r="L137" s="140" t="n"/>
      <c r="M137" s="145">
        <f>IF(OR(L137="",L137="PENDING"),"",IF(L137="P",I137,IF(L137="L",0,IF(G137&lt;0,I137+I137*100/ABS(G137),I137+I137*G137/100))))</f>
        <v/>
      </c>
      <c r="N137" s="146">
        <f>IF(OR(L137="",L137="PENDING"),"",IF(L137="P",0,IF(L137="L",-J137,IF(G137&lt;0,J137*100/ABS(G137),J137*G137/100))))</f>
        <v/>
      </c>
      <c r="O137" s="145">
        <f>IF(OR(L137="",L137="PENDING"),"",IF(L137="P",0,M137-I137))</f>
        <v/>
      </c>
    </row>
    <row r="138" ht="18" customHeight="1" s="91">
      <c r="A138" s="131">
        <f>IF(C138="","",ROW()-7)</f>
        <v/>
      </c>
      <c r="B138" s="132" t="n"/>
      <c r="C138" s="132" t="n"/>
      <c r="D138" s="133" t="n"/>
      <c r="E138" s="133" t="n"/>
      <c r="F138" s="132" t="n"/>
      <c r="G138" s="134" t="n"/>
      <c r="H138" s="132" t="n"/>
      <c r="I138" s="135" t="n"/>
      <c r="J138" s="136" t="n"/>
      <c r="K138" s="132" t="n"/>
      <c r="L138" s="132" t="n"/>
      <c r="M138" s="137">
        <f>IF(OR(L138="",L138="PENDING"),"",IF(L138="P",I138,IF(L138="L",0,IF(G138&lt;0,I138+I138*100/ABS(G138),I138+I138*G138/100))))</f>
        <v/>
      </c>
      <c r="N138" s="138">
        <f>IF(OR(L138="",L138="PENDING"),"",IF(L138="P",0,IF(L138="L",-J138,IF(G138&lt;0,J138*100/ABS(G138),J138*G138/100))))</f>
        <v/>
      </c>
      <c r="O138" s="137">
        <f>IF(OR(L138="",L138="PENDING"),"",IF(L138="P",0,M138-I138))</f>
        <v/>
      </c>
    </row>
    <row r="139" ht="18" customHeight="1" s="91">
      <c r="A139" s="139">
        <f>IF(C139="","",ROW()-7)</f>
        <v/>
      </c>
      <c r="B139" s="140" t="n"/>
      <c r="C139" s="140" t="n"/>
      <c r="D139" s="141" t="n"/>
      <c r="E139" s="141" t="n"/>
      <c r="F139" s="140" t="n"/>
      <c r="G139" s="142" t="n"/>
      <c r="H139" s="140" t="n"/>
      <c r="I139" s="143" t="n"/>
      <c r="J139" s="144" t="n"/>
      <c r="K139" s="140" t="n"/>
      <c r="L139" s="140" t="n"/>
      <c r="M139" s="145">
        <f>IF(OR(L139="",L139="PENDING"),"",IF(L139="P",I139,IF(L139="L",0,IF(G139&lt;0,I139+I139*100/ABS(G139),I139+I139*G139/100))))</f>
        <v/>
      </c>
      <c r="N139" s="146">
        <f>IF(OR(L139="",L139="PENDING"),"",IF(L139="P",0,IF(L139="L",-J139,IF(G139&lt;0,J139*100/ABS(G139),J139*G139/100))))</f>
        <v/>
      </c>
      <c r="O139" s="145">
        <f>IF(OR(L139="",L139="PENDING"),"",IF(L139="P",0,M139-I139))</f>
        <v/>
      </c>
    </row>
    <row r="140" ht="18" customHeight="1" s="91">
      <c r="A140" s="131">
        <f>IF(C140="","",ROW()-7)</f>
        <v/>
      </c>
      <c r="B140" s="132" t="n"/>
      <c r="C140" s="132" t="n"/>
      <c r="D140" s="133" t="n"/>
      <c r="E140" s="133" t="n"/>
      <c r="F140" s="132" t="n"/>
      <c r="G140" s="134" t="n"/>
      <c r="H140" s="132" t="n"/>
      <c r="I140" s="135" t="n"/>
      <c r="J140" s="136" t="n"/>
      <c r="K140" s="132" t="n"/>
      <c r="L140" s="132" t="n"/>
      <c r="M140" s="137">
        <f>IF(OR(L140="",L140="PENDING"),"",IF(L140="P",I140,IF(L140="L",0,IF(G140&lt;0,I140+I140*100/ABS(G140),I140+I140*G140/100))))</f>
        <v/>
      </c>
      <c r="N140" s="138">
        <f>IF(OR(L140="",L140="PENDING"),"",IF(L140="P",0,IF(L140="L",-J140,IF(G140&lt;0,J140*100/ABS(G140),J140*G140/100))))</f>
        <v/>
      </c>
      <c r="O140" s="137">
        <f>IF(OR(L140="",L140="PENDING"),"",IF(L140="P",0,M140-I140))</f>
        <v/>
      </c>
    </row>
    <row r="141" ht="18" customHeight="1" s="91">
      <c r="A141" s="139">
        <f>IF(C141="","",ROW()-7)</f>
        <v/>
      </c>
      <c r="B141" s="140" t="n"/>
      <c r="C141" s="140" t="n"/>
      <c r="D141" s="141" t="n"/>
      <c r="E141" s="141" t="n"/>
      <c r="F141" s="140" t="n"/>
      <c r="G141" s="142" t="n"/>
      <c r="H141" s="140" t="n"/>
      <c r="I141" s="143" t="n"/>
      <c r="J141" s="144" t="n"/>
      <c r="K141" s="140" t="n"/>
      <c r="L141" s="140" t="n"/>
      <c r="M141" s="145">
        <f>IF(OR(L141="",L141="PENDING"),"",IF(L141="P",I141,IF(L141="L",0,IF(G141&lt;0,I141+I141*100/ABS(G141),I141+I141*G141/100))))</f>
        <v/>
      </c>
      <c r="N141" s="146">
        <f>IF(OR(L141="",L141="PENDING"),"",IF(L141="P",0,IF(L141="L",-J141,IF(G141&lt;0,J141*100/ABS(G141),J141*G141/100))))</f>
        <v/>
      </c>
      <c r="O141" s="145">
        <f>IF(OR(L141="",L141="PENDING"),"",IF(L141="P",0,M141-I141))</f>
        <v/>
      </c>
    </row>
    <row r="142" ht="18" customHeight="1" s="91">
      <c r="A142" s="131">
        <f>IF(C142="","",ROW()-7)</f>
        <v/>
      </c>
      <c r="B142" s="132" t="n"/>
      <c r="C142" s="132" t="n"/>
      <c r="D142" s="133" t="n"/>
      <c r="E142" s="133" t="n"/>
      <c r="F142" s="132" t="n"/>
      <c r="G142" s="134" t="n"/>
      <c r="H142" s="132" t="n"/>
      <c r="I142" s="135" t="n"/>
      <c r="J142" s="136" t="n"/>
      <c r="K142" s="132" t="n"/>
      <c r="L142" s="132" t="n"/>
      <c r="M142" s="137">
        <f>IF(OR(L142="",L142="PENDING"),"",IF(L142="P",I142,IF(L142="L",0,IF(G142&lt;0,I142+I142*100/ABS(G142),I142+I142*G142/100))))</f>
        <v/>
      </c>
      <c r="N142" s="138">
        <f>IF(OR(L142="",L142="PENDING"),"",IF(L142="P",0,IF(L142="L",-J142,IF(G142&lt;0,J142*100/ABS(G142),J142*G142/100))))</f>
        <v/>
      </c>
      <c r="O142" s="137">
        <f>IF(OR(L142="",L142="PENDING"),"",IF(L142="P",0,M142-I142))</f>
        <v/>
      </c>
    </row>
    <row r="143" ht="18" customHeight="1" s="91">
      <c r="A143" s="139">
        <f>IF(C143="","",ROW()-7)</f>
        <v/>
      </c>
      <c r="B143" s="140" t="n"/>
      <c r="C143" s="140" t="n"/>
      <c r="D143" s="141" t="n"/>
      <c r="E143" s="141" t="n"/>
      <c r="F143" s="140" t="n"/>
      <c r="G143" s="142" t="n"/>
      <c r="H143" s="140" t="n"/>
      <c r="I143" s="143" t="n"/>
      <c r="J143" s="144" t="n"/>
      <c r="K143" s="140" t="n"/>
      <c r="L143" s="140" t="n"/>
      <c r="M143" s="145">
        <f>IF(OR(L143="",L143="PENDING"),"",IF(L143="P",I143,IF(L143="L",0,IF(G143&lt;0,I143+I143*100/ABS(G143),I143+I143*G143/100))))</f>
        <v/>
      </c>
      <c r="N143" s="146">
        <f>IF(OR(L143="",L143="PENDING"),"",IF(L143="P",0,IF(L143="L",-J143,IF(G143&lt;0,J143*100/ABS(G143),J143*G143/100))))</f>
        <v/>
      </c>
      <c r="O143" s="145">
        <f>IF(OR(L143="",L143="PENDING"),"",IF(L143="P",0,M143-I143))</f>
        <v/>
      </c>
    </row>
    <row r="144" ht="18" customHeight="1" s="91">
      <c r="A144" s="131">
        <f>IF(C144="","",ROW()-7)</f>
        <v/>
      </c>
      <c r="B144" s="132" t="n"/>
      <c r="C144" s="132" t="n"/>
      <c r="D144" s="133" t="n"/>
      <c r="E144" s="133" t="n"/>
      <c r="F144" s="132" t="n"/>
      <c r="G144" s="134" t="n"/>
      <c r="H144" s="132" t="n"/>
      <c r="I144" s="135" t="n"/>
      <c r="J144" s="136" t="n"/>
      <c r="K144" s="132" t="n"/>
      <c r="L144" s="132" t="n"/>
      <c r="M144" s="137">
        <f>IF(OR(L144="",L144="PENDING"),"",IF(L144="P",I144,IF(L144="L",0,IF(G144&lt;0,I144+I144*100/ABS(G144),I144+I144*G144/100))))</f>
        <v/>
      </c>
      <c r="N144" s="138">
        <f>IF(OR(L144="",L144="PENDING"),"",IF(L144="P",0,IF(L144="L",-J144,IF(G144&lt;0,J144*100/ABS(G144),J144*G144/100))))</f>
        <v/>
      </c>
      <c r="O144" s="137">
        <f>IF(OR(L144="",L144="PENDING"),"",IF(L144="P",0,M144-I144))</f>
        <v/>
      </c>
    </row>
    <row r="145" ht="18" customHeight="1" s="91">
      <c r="A145" s="139">
        <f>IF(C145="","",ROW()-7)</f>
        <v/>
      </c>
      <c r="B145" s="140" t="n"/>
      <c r="C145" s="140" t="n"/>
      <c r="D145" s="141" t="n"/>
      <c r="E145" s="141" t="n"/>
      <c r="F145" s="140" t="n"/>
      <c r="G145" s="142" t="n"/>
      <c r="H145" s="140" t="n"/>
      <c r="I145" s="143" t="n"/>
      <c r="J145" s="144" t="n"/>
      <c r="K145" s="140" t="n"/>
      <c r="L145" s="140" t="n"/>
      <c r="M145" s="145">
        <f>IF(OR(L145="",L145="PENDING"),"",IF(L145="P",I145,IF(L145="L",0,IF(G145&lt;0,I145+I145*100/ABS(G145),I145+I145*G145/100))))</f>
        <v/>
      </c>
      <c r="N145" s="146">
        <f>IF(OR(L145="",L145="PENDING"),"",IF(L145="P",0,IF(L145="L",-J145,IF(G145&lt;0,J145*100/ABS(G145),J145*G145/100))))</f>
        <v/>
      </c>
      <c r="O145" s="145">
        <f>IF(OR(L145="",L145="PENDING"),"",IF(L145="P",0,M145-I145))</f>
        <v/>
      </c>
    </row>
    <row r="146" ht="18" customHeight="1" s="91">
      <c r="A146" s="131">
        <f>IF(C146="","",ROW()-7)</f>
        <v/>
      </c>
      <c r="B146" s="132" t="n"/>
      <c r="C146" s="132" t="n"/>
      <c r="D146" s="133" t="n"/>
      <c r="E146" s="133" t="n"/>
      <c r="F146" s="132" t="n"/>
      <c r="G146" s="134" t="n"/>
      <c r="H146" s="132" t="n"/>
      <c r="I146" s="135" t="n"/>
      <c r="J146" s="136" t="n"/>
      <c r="K146" s="132" t="n"/>
      <c r="L146" s="132" t="n"/>
      <c r="M146" s="137">
        <f>IF(OR(L146="",L146="PENDING"),"",IF(L146="P",I146,IF(L146="L",0,IF(G146&lt;0,I146+I146*100/ABS(G146),I146+I146*G146/100))))</f>
        <v/>
      </c>
      <c r="N146" s="138">
        <f>IF(OR(L146="",L146="PENDING"),"",IF(L146="P",0,IF(L146="L",-J146,IF(G146&lt;0,J146*100/ABS(G146),J146*G146/100))))</f>
        <v/>
      </c>
      <c r="O146" s="137">
        <f>IF(OR(L146="",L146="PENDING"),"",IF(L146="P",0,M146-I146))</f>
        <v/>
      </c>
    </row>
    <row r="147" ht="18" customHeight="1" s="91">
      <c r="A147" s="139">
        <f>IF(C147="","",ROW()-7)</f>
        <v/>
      </c>
      <c r="B147" s="140" t="n"/>
      <c r="C147" s="140" t="n"/>
      <c r="D147" s="141" t="n"/>
      <c r="E147" s="141" t="n"/>
      <c r="F147" s="140" t="n"/>
      <c r="G147" s="142" t="n"/>
      <c r="H147" s="140" t="n"/>
      <c r="I147" s="143" t="n"/>
      <c r="J147" s="144" t="n"/>
      <c r="K147" s="140" t="n"/>
      <c r="L147" s="140" t="n"/>
      <c r="M147" s="145">
        <f>IF(OR(L147="",L147="PENDING"),"",IF(L147="P",I147,IF(L147="L",0,IF(G147&lt;0,I147+I147*100/ABS(G147),I147+I147*G147/100))))</f>
        <v/>
      </c>
      <c r="N147" s="146">
        <f>IF(OR(L147="",L147="PENDING"),"",IF(L147="P",0,IF(L147="L",-J147,IF(G147&lt;0,J147*100/ABS(G147),J147*G147/100))))</f>
        <v/>
      </c>
      <c r="O147" s="145">
        <f>IF(OR(L147="",L147="PENDING"),"",IF(L147="P",0,M147-I147))</f>
        <v/>
      </c>
    </row>
    <row r="148" ht="18" customHeight="1" s="91">
      <c r="A148" s="131">
        <f>IF(C148="","",ROW()-7)</f>
        <v/>
      </c>
      <c r="B148" s="132" t="n"/>
      <c r="C148" s="132" t="n"/>
      <c r="D148" s="133" t="n"/>
      <c r="E148" s="133" t="n"/>
      <c r="F148" s="132" t="n"/>
      <c r="G148" s="134" t="n"/>
      <c r="H148" s="132" t="n"/>
      <c r="I148" s="135" t="n"/>
      <c r="J148" s="136" t="n"/>
      <c r="K148" s="132" t="n"/>
      <c r="L148" s="132" t="n"/>
      <c r="M148" s="137">
        <f>IF(OR(L148="",L148="PENDING"),"",IF(L148="P",I148,IF(L148="L",0,IF(G148&lt;0,I148+I148*100/ABS(G148),I148+I148*G148/100))))</f>
        <v/>
      </c>
      <c r="N148" s="138">
        <f>IF(OR(L148="",L148="PENDING"),"",IF(L148="P",0,IF(L148="L",-J148,IF(G148&lt;0,J148*100/ABS(G148),J148*G148/100))))</f>
        <v/>
      </c>
      <c r="O148" s="137">
        <f>IF(OR(L148="",L148="PENDING"),"",IF(L148="P",0,M148-I148))</f>
        <v/>
      </c>
    </row>
    <row r="149" ht="18" customHeight="1" s="91">
      <c r="A149" s="139">
        <f>IF(C149="","",ROW()-7)</f>
        <v/>
      </c>
      <c r="B149" s="140" t="n"/>
      <c r="C149" s="140" t="n"/>
      <c r="D149" s="141" t="n"/>
      <c r="E149" s="141" t="n"/>
      <c r="F149" s="140" t="n"/>
      <c r="G149" s="142" t="n"/>
      <c r="H149" s="140" t="n"/>
      <c r="I149" s="143" t="n"/>
      <c r="J149" s="144" t="n"/>
      <c r="K149" s="140" t="n"/>
      <c r="L149" s="140" t="n"/>
      <c r="M149" s="145">
        <f>IF(OR(L149="",L149="PENDING"),"",IF(L149="P",I149,IF(L149="L",0,IF(G149&lt;0,I149+I149*100/ABS(G149),I149+I149*G149/100))))</f>
        <v/>
      </c>
      <c r="N149" s="146">
        <f>IF(OR(L149="",L149="PENDING"),"",IF(L149="P",0,IF(L149="L",-J149,IF(G149&lt;0,J149*100/ABS(G149),J149*G149/100))))</f>
        <v/>
      </c>
      <c r="O149" s="145">
        <f>IF(OR(L149="",L149="PENDING"),"",IF(L149="P",0,M149-I149))</f>
        <v/>
      </c>
    </row>
    <row r="150" ht="18" customHeight="1" s="91">
      <c r="A150" s="131">
        <f>IF(C150="","",ROW()-7)</f>
        <v/>
      </c>
      <c r="B150" s="132" t="n"/>
      <c r="C150" s="132" t="n"/>
      <c r="D150" s="133" t="n"/>
      <c r="E150" s="133" t="n"/>
      <c r="F150" s="132" t="n"/>
      <c r="G150" s="134" t="n"/>
      <c r="H150" s="132" t="n"/>
      <c r="I150" s="135" t="n"/>
      <c r="J150" s="136" t="n"/>
      <c r="K150" s="132" t="n"/>
      <c r="L150" s="132" t="n"/>
      <c r="M150" s="137">
        <f>IF(OR(L150="",L150="PENDING"),"",IF(L150="P",I150,IF(L150="L",0,IF(G150&lt;0,I150+I150*100/ABS(G150),I150+I150*G150/100))))</f>
        <v/>
      </c>
      <c r="N150" s="138">
        <f>IF(OR(L150="",L150="PENDING"),"",IF(L150="P",0,IF(L150="L",-J150,IF(G150&lt;0,J150*100/ABS(G150),J150*G150/100))))</f>
        <v/>
      </c>
      <c r="O150" s="137">
        <f>IF(OR(L150="",L150="PENDING"),"",IF(L150="P",0,M150-I150))</f>
        <v/>
      </c>
    </row>
    <row r="151" ht="18" customHeight="1" s="91">
      <c r="A151" s="139">
        <f>IF(C151="","",ROW()-7)</f>
        <v/>
      </c>
      <c r="B151" s="140" t="n"/>
      <c r="C151" s="140" t="n"/>
      <c r="D151" s="141" t="n"/>
      <c r="E151" s="141" t="n"/>
      <c r="F151" s="140" t="n"/>
      <c r="G151" s="142" t="n"/>
      <c r="H151" s="140" t="n"/>
      <c r="I151" s="143" t="n"/>
      <c r="J151" s="144" t="n"/>
      <c r="K151" s="140" t="n"/>
      <c r="L151" s="140" t="n"/>
      <c r="M151" s="145">
        <f>IF(OR(L151="",L151="PENDING"),"",IF(L151="P",I151,IF(L151="L",0,IF(G151&lt;0,I151+I151*100/ABS(G151),I151+I151*G151/100))))</f>
        <v/>
      </c>
      <c r="N151" s="146">
        <f>IF(OR(L151="",L151="PENDING"),"",IF(L151="P",0,IF(L151="L",-J151,IF(G151&lt;0,J151*100/ABS(G151),J151*G151/100))))</f>
        <v/>
      </c>
      <c r="O151" s="145">
        <f>IF(OR(L151="",L151="PENDING"),"",IF(L151="P",0,M151-I151))</f>
        <v/>
      </c>
    </row>
    <row r="152" ht="18" customHeight="1" s="91">
      <c r="A152" s="131">
        <f>IF(C152="","",ROW()-7)</f>
        <v/>
      </c>
      <c r="B152" s="132" t="n"/>
      <c r="C152" s="132" t="n"/>
      <c r="D152" s="133" t="n"/>
      <c r="E152" s="133" t="n"/>
      <c r="F152" s="132" t="n"/>
      <c r="G152" s="134" t="n"/>
      <c r="H152" s="132" t="n"/>
      <c r="I152" s="135" t="n"/>
      <c r="J152" s="136" t="n"/>
      <c r="K152" s="132" t="n"/>
      <c r="L152" s="132" t="n"/>
      <c r="M152" s="137">
        <f>IF(OR(L152="",L152="PENDING"),"",IF(L152="P",I152,IF(L152="L",0,IF(G152&lt;0,I152+I152*100/ABS(G152),I152+I152*G152/100))))</f>
        <v/>
      </c>
      <c r="N152" s="138">
        <f>IF(OR(L152="",L152="PENDING"),"",IF(L152="P",0,IF(L152="L",-J152,IF(G152&lt;0,J152*100/ABS(G152),J152*G152/100))))</f>
        <v/>
      </c>
      <c r="O152" s="137">
        <f>IF(OR(L152="",L152="PENDING"),"",IF(L152="P",0,M152-I152))</f>
        <v/>
      </c>
    </row>
    <row r="153" ht="18" customHeight="1" s="91">
      <c r="A153" s="139">
        <f>IF(C153="","",ROW()-7)</f>
        <v/>
      </c>
      <c r="B153" s="140" t="n"/>
      <c r="C153" s="140" t="n"/>
      <c r="D153" s="141" t="n"/>
      <c r="E153" s="141" t="n"/>
      <c r="F153" s="140" t="n"/>
      <c r="G153" s="142" t="n"/>
      <c r="H153" s="140" t="n"/>
      <c r="I153" s="143" t="n"/>
      <c r="J153" s="144" t="n"/>
      <c r="K153" s="140" t="n"/>
      <c r="L153" s="140" t="n"/>
      <c r="M153" s="145">
        <f>IF(OR(L153="",L153="PENDING"),"",IF(L153="P",I153,IF(L153="L",0,IF(G153&lt;0,I153+I153*100/ABS(G153),I153+I153*G153/100))))</f>
        <v/>
      </c>
      <c r="N153" s="146">
        <f>IF(OR(L153="",L153="PENDING"),"",IF(L153="P",0,IF(L153="L",-J153,IF(G153&lt;0,J153*100/ABS(G153),J153*G153/100))))</f>
        <v/>
      </c>
      <c r="O153" s="145">
        <f>IF(OR(L153="",L153="PENDING"),"",IF(L153="P",0,M153-I153))</f>
        <v/>
      </c>
    </row>
    <row r="154" ht="18" customHeight="1" s="91">
      <c r="A154" s="131">
        <f>IF(C154="","",ROW()-7)</f>
        <v/>
      </c>
      <c r="B154" s="132" t="n"/>
      <c r="C154" s="132" t="n"/>
      <c r="D154" s="133" t="n"/>
      <c r="E154" s="133" t="n"/>
      <c r="F154" s="132" t="n"/>
      <c r="G154" s="134" t="n"/>
      <c r="H154" s="132" t="n"/>
      <c r="I154" s="135" t="n"/>
      <c r="J154" s="136" t="n"/>
      <c r="K154" s="132" t="n"/>
      <c r="L154" s="132" t="n"/>
      <c r="M154" s="137">
        <f>IF(OR(L154="",L154="PENDING"),"",IF(L154="P",I154,IF(L154="L",0,IF(G154&lt;0,I154+I154*100/ABS(G154),I154+I154*G154/100))))</f>
        <v/>
      </c>
      <c r="N154" s="138">
        <f>IF(OR(L154="",L154="PENDING"),"",IF(L154="P",0,IF(L154="L",-J154,IF(G154&lt;0,J154*100/ABS(G154),J154*G154/100))))</f>
        <v/>
      </c>
      <c r="O154" s="137">
        <f>IF(OR(L154="",L154="PENDING"),"",IF(L154="P",0,M154-I154))</f>
        <v/>
      </c>
    </row>
    <row r="155" ht="18" customHeight="1" s="91">
      <c r="A155" s="139">
        <f>IF(C155="","",ROW()-7)</f>
        <v/>
      </c>
      <c r="B155" s="140" t="n"/>
      <c r="C155" s="140" t="n"/>
      <c r="D155" s="141" t="n"/>
      <c r="E155" s="141" t="n"/>
      <c r="F155" s="140" t="n"/>
      <c r="G155" s="142" t="n"/>
      <c r="H155" s="140" t="n"/>
      <c r="I155" s="143" t="n"/>
      <c r="J155" s="144" t="n"/>
      <c r="K155" s="140" t="n"/>
      <c r="L155" s="140" t="n"/>
      <c r="M155" s="145">
        <f>IF(OR(L155="",L155="PENDING"),"",IF(L155="P",I155,IF(L155="L",0,IF(G155&lt;0,I155+I155*100/ABS(G155),I155+I155*G155/100))))</f>
        <v/>
      </c>
      <c r="N155" s="146">
        <f>IF(OR(L155="",L155="PENDING"),"",IF(L155="P",0,IF(L155="L",-J155,IF(G155&lt;0,J155*100/ABS(G155),J155*G155/100))))</f>
        <v/>
      </c>
      <c r="O155" s="145">
        <f>IF(OR(L155="",L155="PENDING"),"",IF(L155="P",0,M155-I155))</f>
        <v/>
      </c>
    </row>
    <row r="156" ht="18" customHeight="1" s="91">
      <c r="A156" s="131">
        <f>IF(C156="","",ROW()-7)</f>
        <v/>
      </c>
      <c r="B156" s="132" t="n"/>
      <c r="C156" s="132" t="n"/>
      <c r="D156" s="133" t="n"/>
      <c r="E156" s="133" t="n"/>
      <c r="F156" s="132" t="n"/>
      <c r="G156" s="134" t="n"/>
      <c r="H156" s="132" t="n"/>
      <c r="I156" s="135" t="n"/>
      <c r="J156" s="136" t="n"/>
      <c r="K156" s="132" t="n"/>
      <c r="L156" s="132" t="n"/>
      <c r="M156" s="137">
        <f>IF(OR(L156="",L156="PENDING"),"",IF(L156="P",I156,IF(L156="L",0,IF(G156&lt;0,I156+I156*100/ABS(G156),I156+I156*G156/100))))</f>
        <v/>
      </c>
      <c r="N156" s="138">
        <f>IF(OR(L156="",L156="PENDING"),"",IF(L156="P",0,IF(L156="L",-J156,IF(G156&lt;0,J156*100/ABS(G156),J156*G156/100))))</f>
        <v/>
      </c>
      <c r="O156" s="137">
        <f>IF(OR(L156="",L156="PENDING"),"",IF(L156="P",0,M156-I156))</f>
        <v/>
      </c>
    </row>
    <row r="157" ht="18" customHeight="1" s="91">
      <c r="A157" s="139">
        <f>IF(C157="","",ROW()-7)</f>
        <v/>
      </c>
      <c r="B157" s="140" t="n"/>
      <c r="C157" s="140" t="n"/>
      <c r="D157" s="141" t="n"/>
      <c r="E157" s="141" t="n"/>
      <c r="F157" s="140" t="n"/>
      <c r="G157" s="142" t="n"/>
      <c r="H157" s="140" t="n"/>
      <c r="I157" s="143" t="n"/>
      <c r="J157" s="144" t="n"/>
      <c r="K157" s="140" t="n"/>
      <c r="L157" s="140" t="n"/>
      <c r="M157" s="145">
        <f>IF(OR(L157="",L157="PENDING"),"",IF(L157="P",I157,IF(L157="L",0,IF(G157&lt;0,I157+I157*100/ABS(G157),I157+I157*G157/100))))</f>
        <v/>
      </c>
      <c r="N157" s="146">
        <f>IF(OR(L157="",L157="PENDING"),"",IF(L157="P",0,IF(L157="L",-J157,IF(G157&lt;0,J157*100/ABS(G157),J157*G157/100))))</f>
        <v/>
      </c>
      <c r="O157" s="145">
        <f>IF(OR(L157="",L157="PENDING"),"",IF(L157="P",0,M157-I157))</f>
        <v/>
      </c>
    </row>
    <row r="158" ht="18" customHeight="1" s="91">
      <c r="A158" s="131">
        <f>IF(C158="","",ROW()-7)</f>
        <v/>
      </c>
      <c r="B158" s="132" t="n"/>
      <c r="C158" s="132" t="n"/>
      <c r="D158" s="133" t="n"/>
      <c r="E158" s="133" t="n"/>
      <c r="F158" s="132" t="n"/>
      <c r="G158" s="134" t="n"/>
      <c r="H158" s="132" t="n"/>
      <c r="I158" s="135" t="n"/>
      <c r="J158" s="136" t="n"/>
      <c r="K158" s="132" t="n"/>
      <c r="L158" s="132" t="n"/>
      <c r="M158" s="137">
        <f>IF(OR(L158="",L158="PENDING"),"",IF(L158="P",I158,IF(L158="L",0,IF(G158&lt;0,I158+I158*100/ABS(G158),I158+I158*G158/100))))</f>
        <v/>
      </c>
      <c r="N158" s="138">
        <f>IF(OR(L158="",L158="PENDING"),"",IF(L158="P",0,IF(L158="L",-J158,IF(G158&lt;0,J158*100/ABS(G158),J158*G158/100))))</f>
        <v/>
      </c>
      <c r="O158" s="137">
        <f>IF(OR(L158="",L158="PENDING"),"",IF(L158="P",0,M158-I158))</f>
        <v/>
      </c>
    </row>
    <row r="159" ht="18" customHeight="1" s="91">
      <c r="A159" s="139">
        <f>IF(C159="","",ROW()-7)</f>
        <v/>
      </c>
      <c r="B159" s="140" t="n"/>
      <c r="C159" s="140" t="n"/>
      <c r="D159" s="141" t="n"/>
      <c r="E159" s="141" t="n"/>
      <c r="F159" s="140" t="n"/>
      <c r="G159" s="142" t="n"/>
      <c r="H159" s="140" t="n"/>
      <c r="I159" s="143" t="n"/>
      <c r="J159" s="144" t="n"/>
      <c r="K159" s="140" t="n"/>
      <c r="L159" s="140" t="n"/>
      <c r="M159" s="145">
        <f>IF(OR(L159="",L159="PENDING"),"",IF(L159="P",I159,IF(L159="L",0,IF(G159&lt;0,I159+I159*100/ABS(G159),I159+I159*G159/100))))</f>
        <v/>
      </c>
      <c r="N159" s="146">
        <f>IF(OR(L159="",L159="PENDING"),"",IF(L159="P",0,IF(L159="L",-J159,IF(G159&lt;0,J159*100/ABS(G159),J159*G159/100))))</f>
        <v/>
      </c>
      <c r="O159" s="145">
        <f>IF(OR(L159="",L159="PENDING"),"",IF(L159="P",0,M159-I159))</f>
        <v/>
      </c>
    </row>
    <row r="160" ht="18" customHeight="1" s="91">
      <c r="A160" s="131">
        <f>IF(C160="","",ROW()-7)</f>
        <v/>
      </c>
      <c r="B160" s="132" t="n"/>
      <c r="C160" s="132" t="n"/>
      <c r="D160" s="133" t="n"/>
      <c r="E160" s="133" t="n"/>
      <c r="F160" s="132" t="n"/>
      <c r="G160" s="134" t="n"/>
      <c r="H160" s="132" t="n"/>
      <c r="I160" s="135" t="n"/>
      <c r="J160" s="136" t="n"/>
      <c r="K160" s="132" t="n"/>
      <c r="L160" s="132" t="n"/>
      <c r="M160" s="137">
        <f>IF(OR(L160="",L160="PENDING"),"",IF(L160="P",I160,IF(L160="L",0,IF(G160&lt;0,I160+I160*100/ABS(G160),I160+I160*G160/100))))</f>
        <v/>
      </c>
      <c r="N160" s="138">
        <f>IF(OR(L160="",L160="PENDING"),"",IF(L160="P",0,IF(L160="L",-J160,IF(G160&lt;0,J160*100/ABS(G160),J160*G160/100))))</f>
        <v/>
      </c>
      <c r="O160" s="137">
        <f>IF(OR(L160="",L160="PENDING"),"",IF(L160="P",0,M160-I160))</f>
        <v/>
      </c>
    </row>
    <row r="161" ht="18" customHeight="1" s="91">
      <c r="A161" s="139">
        <f>IF(C161="","",ROW()-7)</f>
        <v/>
      </c>
      <c r="B161" s="140" t="n"/>
      <c r="C161" s="140" t="n"/>
      <c r="D161" s="141" t="n"/>
      <c r="E161" s="141" t="n"/>
      <c r="F161" s="140" t="n"/>
      <c r="G161" s="142" t="n"/>
      <c r="H161" s="140" t="n"/>
      <c r="I161" s="143" t="n"/>
      <c r="J161" s="144" t="n"/>
      <c r="K161" s="140" t="n"/>
      <c r="L161" s="140" t="n"/>
      <c r="M161" s="145">
        <f>IF(OR(L161="",L161="PENDING"),"",IF(L161="P",I161,IF(L161="L",0,IF(G161&lt;0,I161+I161*100/ABS(G161),I161+I161*G161/100))))</f>
        <v/>
      </c>
      <c r="N161" s="146">
        <f>IF(OR(L161="",L161="PENDING"),"",IF(L161="P",0,IF(L161="L",-J161,IF(G161&lt;0,J161*100/ABS(G161),J161*G161/100))))</f>
        <v/>
      </c>
      <c r="O161" s="145">
        <f>IF(OR(L161="",L161="PENDING"),"",IF(L161="P",0,M161-I161))</f>
        <v/>
      </c>
    </row>
    <row r="162" ht="18" customHeight="1" s="91">
      <c r="A162" s="131">
        <f>IF(C162="","",ROW()-7)</f>
        <v/>
      </c>
      <c r="B162" s="132" t="n"/>
      <c r="C162" s="132" t="n"/>
      <c r="D162" s="133" t="n"/>
      <c r="E162" s="133" t="n"/>
      <c r="F162" s="132" t="n"/>
      <c r="G162" s="134" t="n"/>
      <c r="H162" s="132" t="n"/>
      <c r="I162" s="135" t="n"/>
      <c r="J162" s="136" t="n"/>
      <c r="K162" s="132" t="n"/>
      <c r="L162" s="132" t="n"/>
      <c r="M162" s="137">
        <f>IF(OR(L162="",L162="PENDING"),"",IF(L162="P",I162,IF(L162="L",0,IF(G162&lt;0,I162+I162*100/ABS(G162),I162+I162*G162/100))))</f>
        <v/>
      </c>
      <c r="N162" s="138">
        <f>IF(OR(L162="",L162="PENDING"),"",IF(L162="P",0,IF(L162="L",-J162,IF(G162&lt;0,J162*100/ABS(G162),J162*G162/100))))</f>
        <v/>
      </c>
      <c r="O162" s="137">
        <f>IF(OR(L162="",L162="PENDING"),"",IF(L162="P",0,M162-I162))</f>
        <v/>
      </c>
    </row>
    <row r="163" ht="18" customHeight="1" s="91">
      <c r="A163" s="139">
        <f>IF(C163="","",ROW()-7)</f>
        <v/>
      </c>
      <c r="B163" s="140" t="n"/>
      <c r="C163" s="140" t="n"/>
      <c r="D163" s="141" t="n"/>
      <c r="E163" s="141" t="n"/>
      <c r="F163" s="140" t="n"/>
      <c r="G163" s="142" t="n"/>
      <c r="H163" s="140" t="n"/>
      <c r="I163" s="143" t="n"/>
      <c r="J163" s="144" t="n"/>
      <c r="K163" s="140" t="n"/>
      <c r="L163" s="140" t="n"/>
      <c r="M163" s="145">
        <f>IF(OR(L163="",L163="PENDING"),"",IF(L163="P",I163,IF(L163="L",0,IF(G163&lt;0,I163+I163*100/ABS(G163),I163+I163*G163/100))))</f>
        <v/>
      </c>
      <c r="N163" s="146">
        <f>IF(OR(L163="",L163="PENDING"),"",IF(L163="P",0,IF(L163="L",-J163,IF(G163&lt;0,J163*100/ABS(G163),J163*G163/100))))</f>
        <v/>
      </c>
      <c r="O163" s="145">
        <f>IF(OR(L163="",L163="PENDING"),"",IF(L163="P",0,M163-I163))</f>
        <v/>
      </c>
    </row>
    <row r="164" ht="18" customHeight="1" s="91">
      <c r="A164" s="131">
        <f>IF(C164="","",ROW()-7)</f>
        <v/>
      </c>
      <c r="B164" s="132" t="n"/>
      <c r="C164" s="132" t="n"/>
      <c r="D164" s="133" t="n"/>
      <c r="E164" s="133" t="n"/>
      <c r="F164" s="132" t="n"/>
      <c r="G164" s="134" t="n"/>
      <c r="H164" s="132" t="n"/>
      <c r="I164" s="135" t="n"/>
      <c r="J164" s="136" t="n"/>
      <c r="K164" s="132" t="n"/>
      <c r="L164" s="132" t="n"/>
      <c r="M164" s="137">
        <f>IF(OR(L164="",L164="PENDING"),"",IF(L164="P",I164,IF(L164="L",0,IF(G164&lt;0,I164+I164*100/ABS(G164),I164+I164*G164/100))))</f>
        <v/>
      </c>
      <c r="N164" s="138">
        <f>IF(OR(L164="",L164="PENDING"),"",IF(L164="P",0,IF(L164="L",-J164,IF(G164&lt;0,J164*100/ABS(G164),J164*G164/100))))</f>
        <v/>
      </c>
      <c r="O164" s="137">
        <f>IF(OR(L164="",L164="PENDING"),"",IF(L164="P",0,M164-I164))</f>
        <v/>
      </c>
    </row>
    <row r="165" ht="18" customHeight="1" s="91">
      <c r="A165" s="139">
        <f>IF(C165="","",ROW()-7)</f>
        <v/>
      </c>
      <c r="B165" s="140" t="n"/>
      <c r="C165" s="140" t="n"/>
      <c r="D165" s="141" t="n"/>
      <c r="E165" s="141" t="n"/>
      <c r="F165" s="140" t="n"/>
      <c r="G165" s="142" t="n"/>
      <c r="H165" s="140" t="n"/>
      <c r="I165" s="143" t="n"/>
      <c r="J165" s="144" t="n"/>
      <c r="K165" s="140" t="n"/>
      <c r="L165" s="140" t="n"/>
      <c r="M165" s="145">
        <f>IF(OR(L165="",L165="PENDING"),"",IF(L165="P",I165,IF(L165="L",0,IF(G165&lt;0,I165+I165*100/ABS(G165),I165+I165*G165/100))))</f>
        <v/>
      </c>
      <c r="N165" s="146">
        <f>IF(OR(L165="",L165="PENDING"),"",IF(L165="P",0,IF(L165="L",-J165,IF(G165&lt;0,J165*100/ABS(G165),J165*G165/100))))</f>
        <v/>
      </c>
      <c r="O165" s="145">
        <f>IF(OR(L165="",L165="PENDING"),"",IF(L165="P",0,M165-I165))</f>
        <v/>
      </c>
    </row>
    <row r="166" ht="18" customHeight="1" s="91">
      <c r="A166" s="131">
        <f>IF(C166="","",ROW()-7)</f>
        <v/>
      </c>
      <c r="B166" s="132" t="n"/>
      <c r="C166" s="132" t="n"/>
      <c r="D166" s="133" t="n"/>
      <c r="E166" s="133" t="n"/>
      <c r="F166" s="132" t="n"/>
      <c r="G166" s="134" t="n"/>
      <c r="H166" s="132" t="n"/>
      <c r="I166" s="135" t="n"/>
      <c r="J166" s="136" t="n"/>
      <c r="K166" s="132" t="n"/>
      <c r="L166" s="132" t="n"/>
      <c r="M166" s="137">
        <f>IF(OR(L166="",L166="PENDING"),"",IF(L166="P",I166,IF(L166="L",0,IF(G166&lt;0,I166+I166*100/ABS(G166),I166+I166*G166/100))))</f>
        <v/>
      </c>
      <c r="N166" s="138">
        <f>IF(OR(L166="",L166="PENDING"),"",IF(L166="P",0,IF(L166="L",-J166,IF(G166&lt;0,J166*100/ABS(G166),J166*G166/100))))</f>
        <v/>
      </c>
      <c r="O166" s="137">
        <f>IF(OR(L166="",L166="PENDING"),"",IF(L166="P",0,M166-I166))</f>
        <v/>
      </c>
    </row>
    <row r="167" ht="18" customHeight="1" s="91">
      <c r="A167" s="139">
        <f>IF(C167="","",ROW()-7)</f>
        <v/>
      </c>
      <c r="B167" s="140" t="n"/>
      <c r="C167" s="140" t="n"/>
      <c r="D167" s="141" t="n"/>
      <c r="E167" s="141" t="n"/>
      <c r="F167" s="140" t="n"/>
      <c r="G167" s="142" t="n"/>
      <c r="H167" s="140" t="n"/>
      <c r="I167" s="143" t="n"/>
      <c r="J167" s="144" t="n"/>
      <c r="K167" s="140" t="n"/>
      <c r="L167" s="140" t="n"/>
      <c r="M167" s="145">
        <f>IF(OR(L167="",L167="PENDING"),"",IF(L167="P",I167,IF(L167="L",0,IF(G167&lt;0,I167+I167*100/ABS(G167),I167+I167*G167/100))))</f>
        <v/>
      </c>
      <c r="N167" s="146">
        <f>IF(OR(L167="",L167="PENDING"),"",IF(L167="P",0,IF(L167="L",-J167,IF(G167&lt;0,J167*100/ABS(G167),J167*G167/100))))</f>
        <v/>
      </c>
      <c r="O167" s="145">
        <f>IF(OR(L167="",L167="PENDING"),"",IF(L167="P",0,M167-I167))</f>
        <v/>
      </c>
    </row>
    <row r="168" ht="18" customHeight="1" s="91">
      <c r="A168" s="131">
        <f>IF(C168="","",ROW()-7)</f>
        <v/>
      </c>
      <c r="B168" s="132" t="n"/>
      <c r="C168" s="132" t="n"/>
      <c r="D168" s="133" t="n"/>
      <c r="E168" s="133" t="n"/>
      <c r="F168" s="132" t="n"/>
      <c r="G168" s="134" t="n"/>
      <c r="H168" s="132" t="n"/>
      <c r="I168" s="135" t="n"/>
      <c r="J168" s="136" t="n"/>
      <c r="K168" s="132" t="n"/>
      <c r="L168" s="132" t="n"/>
      <c r="M168" s="137">
        <f>IF(OR(L168="",L168="PENDING"),"",IF(L168="P",I168,IF(L168="L",0,IF(G168&lt;0,I168+I168*100/ABS(G168),I168+I168*G168/100))))</f>
        <v/>
      </c>
      <c r="N168" s="138">
        <f>IF(OR(L168="",L168="PENDING"),"",IF(L168="P",0,IF(L168="L",-J168,IF(G168&lt;0,J168*100/ABS(G168),J168*G168/100))))</f>
        <v/>
      </c>
      <c r="O168" s="137">
        <f>IF(OR(L168="",L168="PENDING"),"",IF(L168="P",0,M168-I168))</f>
        <v/>
      </c>
    </row>
    <row r="169" ht="18" customHeight="1" s="91">
      <c r="A169" s="139">
        <f>IF(C169="","",ROW()-7)</f>
        <v/>
      </c>
      <c r="B169" s="140" t="n"/>
      <c r="C169" s="140" t="n"/>
      <c r="D169" s="141" t="n"/>
      <c r="E169" s="141" t="n"/>
      <c r="F169" s="140" t="n"/>
      <c r="G169" s="142" t="n"/>
      <c r="H169" s="140" t="n"/>
      <c r="I169" s="143" t="n"/>
      <c r="J169" s="144" t="n"/>
      <c r="K169" s="140" t="n"/>
      <c r="L169" s="140" t="n"/>
      <c r="M169" s="145">
        <f>IF(OR(L169="",L169="PENDING"),"",IF(L169="P",I169,IF(L169="L",0,IF(G169&lt;0,I169+I169*100/ABS(G169),I169+I169*G169/100))))</f>
        <v/>
      </c>
      <c r="N169" s="146">
        <f>IF(OR(L169="",L169="PENDING"),"",IF(L169="P",0,IF(L169="L",-J169,IF(G169&lt;0,J169*100/ABS(G169),J169*G169/100))))</f>
        <v/>
      </c>
      <c r="O169" s="145">
        <f>IF(OR(L169="",L169="PENDING"),"",IF(L169="P",0,M169-I169))</f>
        <v/>
      </c>
    </row>
    <row r="170" ht="18" customHeight="1" s="91">
      <c r="A170" s="131">
        <f>IF(C170="","",ROW()-7)</f>
        <v/>
      </c>
      <c r="B170" s="132" t="n"/>
      <c r="C170" s="132" t="n"/>
      <c r="D170" s="133" t="n"/>
      <c r="E170" s="133" t="n"/>
      <c r="F170" s="132" t="n"/>
      <c r="G170" s="134" t="n"/>
      <c r="H170" s="132" t="n"/>
      <c r="I170" s="135" t="n"/>
      <c r="J170" s="136" t="n"/>
      <c r="K170" s="132" t="n"/>
      <c r="L170" s="132" t="n"/>
      <c r="M170" s="137">
        <f>IF(OR(L170="",L170="PENDING"),"",IF(L170="P",I170,IF(L170="L",0,IF(G170&lt;0,I170+I170*100/ABS(G170),I170+I170*G170/100))))</f>
        <v/>
      </c>
      <c r="N170" s="138">
        <f>IF(OR(L170="",L170="PENDING"),"",IF(L170="P",0,IF(L170="L",-J170,IF(G170&lt;0,J170*100/ABS(G170),J170*G170/100))))</f>
        <v/>
      </c>
      <c r="O170" s="137">
        <f>IF(OR(L170="",L170="PENDING"),"",IF(L170="P",0,M170-I170))</f>
        <v/>
      </c>
    </row>
    <row r="171" ht="18" customHeight="1" s="91">
      <c r="A171" s="139">
        <f>IF(C171="","",ROW()-7)</f>
        <v/>
      </c>
      <c r="B171" s="140" t="n"/>
      <c r="C171" s="140" t="n"/>
      <c r="D171" s="141" t="n"/>
      <c r="E171" s="141" t="n"/>
      <c r="F171" s="140" t="n"/>
      <c r="G171" s="142" t="n"/>
      <c r="H171" s="140" t="n"/>
      <c r="I171" s="143" t="n"/>
      <c r="J171" s="144" t="n"/>
      <c r="K171" s="140" t="n"/>
      <c r="L171" s="140" t="n"/>
      <c r="M171" s="145">
        <f>IF(OR(L171="",L171="PENDING"),"",IF(L171="P",I171,IF(L171="L",0,IF(G171&lt;0,I171+I171*100/ABS(G171),I171+I171*G171/100))))</f>
        <v/>
      </c>
      <c r="N171" s="146">
        <f>IF(OR(L171="",L171="PENDING"),"",IF(L171="P",0,IF(L171="L",-J171,IF(G171&lt;0,J171*100/ABS(G171),J171*G171/100))))</f>
        <v/>
      </c>
      <c r="O171" s="145">
        <f>IF(OR(L171="",L171="PENDING"),"",IF(L171="P",0,M171-I171))</f>
        <v/>
      </c>
    </row>
    <row r="172" ht="18" customHeight="1" s="91">
      <c r="A172" s="131">
        <f>IF(C172="","",ROW()-7)</f>
        <v/>
      </c>
      <c r="B172" s="132" t="n"/>
      <c r="C172" s="132" t="n"/>
      <c r="D172" s="133" t="n"/>
      <c r="E172" s="133" t="n"/>
      <c r="F172" s="132" t="n"/>
      <c r="G172" s="134" t="n"/>
      <c r="H172" s="132" t="n"/>
      <c r="I172" s="135" t="n"/>
      <c r="J172" s="136" t="n"/>
      <c r="K172" s="132" t="n"/>
      <c r="L172" s="132" t="n"/>
      <c r="M172" s="137">
        <f>IF(OR(L172="",L172="PENDING"),"",IF(L172="P",I172,IF(L172="L",0,IF(G172&lt;0,I172+I172*100/ABS(G172),I172+I172*G172/100))))</f>
        <v/>
      </c>
      <c r="N172" s="138">
        <f>IF(OR(L172="",L172="PENDING"),"",IF(L172="P",0,IF(L172="L",-J172,IF(G172&lt;0,J172*100/ABS(G172),J172*G172/100))))</f>
        <v/>
      </c>
      <c r="O172" s="137">
        <f>IF(OR(L172="",L172="PENDING"),"",IF(L172="P",0,M172-I172))</f>
        <v/>
      </c>
    </row>
    <row r="173" ht="18" customHeight="1" s="91">
      <c r="A173" s="139">
        <f>IF(C173="","",ROW()-7)</f>
        <v/>
      </c>
      <c r="B173" s="140" t="n"/>
      <c r="C173" s="140" t="n"/>
      <c r="D173" s="141" t="n"/>
      <c r="E173" s="141" t="n"/>
      <c r="F173" s="140" t="n"/>
      <c r="G173" s="142" t="n"/>
      <c r="H173" s="140" t="n"/>
      <c r="I173" s="143" t="n"/>
      <c r="J173" s="144" t="n"/>
      <c r="K173" s="140" t="n"/>
      <c r="L173" s="140" t="n"/>
      <c r="M173" s="145">
        <f>IF(OR(L173="",L173="PENDING"),"",IF(L173="P",I173,IF(L173="L",0,IF(G173&lt;0,I173+I173*100/ABS(G173),I173+I173*G173/100))))</f>
        <v/>
      </c>
      <c r="N173" s="146">
        <f>IF(OR(L173="",L173="PENDING"),"",IF(L173="P",0,IF(L173="L",-J173,IF(G173&lt;0,J173*100/ABS(G173),J173*G173/100))))</f>
        <v/>
      </c>
      <c r="O173" s="145">
        <f>IF(OR(L173="",L173="PENDING"),"",IF(L173="P",0,M173-I173))</f>
        <v/>
      </c>
    </row>
    <row r="174" ht="18" customHeight="1" s="91">
      <c r="A174" s="131">
        <f>IF(C174="","",ROW()-7)</f>
        <v/>
      </c>
      <c r="B174" s="132" t="n"/>
      <c r="C174" s="132" t="n"/>
      <c r="D174" s="133" t="n"/>
      <c r="E174" s="133" t="n"/>
      <c r="F174" s="132" t="n"/>
      <c r="G174" s="134" t="n"/>
      <c r="H174" s="132" t="n"/>
      <c r="I174" s="135" t="n"/>
      <c r="J174" s="136" t="n"/>
      <c r="K174" s="132" t="n"/>
      <c r="L174" s="132" t="n"/>
      <c r="M174" s="137">
        <f>IF(OR(L174="",L174="PENDING"),"",IF(L174="P",I174,IF(L174="L",0,IF(G174&lt;0,I174+I174*100/ABS(G174),I174+I174*G174/100))))</f>
        <v/>
      </c>
      <c r="N174" s="138">
        <f>IF(OR(L174="",L174="PENDING"),"",IF(L174="P",0,IF(L174="L",-J174,IF(G174&lt;0,J174*100/ABS(G174),J174*G174/100))))</f>
        <v/>
      </c>
      <c r="O174" s="137">
        <f>IF(OR(L174="",L174="PENDING"),"",IF(L174="P",0,M174-I174))</f>
        <v/>
      </c>
    </row>
    <row r="175" ht="18" customHeight="1" s="91">
      <c r="A175" s="139">
        <f>IF(C175="","",ROW()-7)</f>
        <v/>
      </c>
      <c r="B175" s="140" t="n"/>
      <c r="C175" s="140" t="n"/>
      <c r="D175" s="141" t="n"/>
      <c r="E175" s="141" t="n"/>
      <c r="F175" s="140" t="n"/>
      <c r="G175" s="142" t="n"/>
      <c r="H175" s="140" t="n"/>
      <c r="I175" s="143" t="n"/>
      <c r="J175" s="144" t="n"/>
      <c r="K175" s="140" t="n"/>
      <c r="L175" s="140" t="n"/>
      <c r="M175" s="145">
        <f>IF(OR(L175="",L175="PENDING"),"",IF(L175="P",I175,IF(L175="L",0,IF(G175&lt;0,I175+I175*100/ABS(G175),I175+I175*G175/100))))</f>
        <v/>
      </c>
      <c r="N175" s="146">
        <f>IF(OR(L175="",L175="PENDING"),"",IF(L175="P",0,IF(L175="L",-J175,IF(G175&lt;0,J175*100/ABS(G175),J175*G175/100))))</f>
        <v/>
      </c>
      <c r="O175" s="145">
        <f>IF(OR(L175="",L175="PENDING"),"",IF(L175="P",0,M175-I175))</f>
        <v/>
      </c>
    </row>
    <row r="176" ht="18" customHeight="1" s="91">
      <c r="A176" s="131">
        <f>IF(C176="","",ROW()-7)</f>
        <v/>
      </c>
      <c r="B176" s="132" t="n"/>
      <c r="C176" s="132" t="n"/>
      <c r="D176" s="133" t="n"/>
      <c r="E176" s="133" t="n"/>
      <c r="F176" s="132" t="n"/>
      <c r="G176" s="134" t="n"/>
      <c r="H176" s="132" t="n"/>
      <c r="I176" s="135" t="n"/>
      <c r="J176" s="136" t="n"/>
      <c r="K176" s="132" t="n"/>
      <c r="L176" s="132" t="n"/>
      <c r="M176" s="137">
        <f>IF(OR(L176="",L176="PENDING"),"",IF(L176="P",I176,IF(L176="L",0,IF(G176&lt;0,I176+I176*100/ABS(G176),I176+I176*G176/100))))</f>
        <v/>
      </c>
      <c r="N176" s="138">
        <f>IF(OR(L176="",L176="PENDING"),"",IF(L176="P",0,IF(L176="L",-J176,IF(G176&lt;0,J176*100/ABS(G176),J176*G176/100))))</f>
        <v/>
      </c>
      <c r="O176" s="137">
        <f>IF(OR(L176="",L176="PENDING"),"",IF(L176="P",0,M176-I176))</f>
        <v/>
      </c>
    </row>
    <row r="177" ht="18" customHeight="1" s="91">
      <c r="A177" s="139">
        <f>IF(C177="","",ROW()-7)</f>
        <v/>
      </c>
      <c r="B177" s="140" t="n"/>
      <c r="C177" s="140" t="n"/>
      <c r="D177" s="141" t="n"/>
      <c r="E177" s="141" t="n"/>
      <c r="F177" s="140" t="n"/>
      <c r="G177" s="142" t="n"/>
      <c r="H177" s="140" t="n"/>
      <c r="I177" s="143" t="n"/>
      <c r="J177" s="144" t="n"/>
      <c r="K177" s="140" t="n"/>
      <c r="L177" s="140" t="n"/>
      <c r="M177" s="145">
        <f>IF(OR(L177="",L177="PENDING"),"",IF(L177="P",I177,IF(L177="L",0,IF(G177&lt;0,I177+I177*100/ABS(G177),I177+I177*G177/100))))</f>
        <v/>
      </c>
      <c r="N177" s="146">
        <f>IF(OR(L177="",L177="PENDING"),"",IF(L177="P",0,IF(L177="L",-J177,IF(G177&lt;0,J177*100/ABS(G177),J177*G177/100))))</f>
        <v/>
      </c>
      <c r="O177" s="145">
        <f>IF(OR(L177="",L177="PENDING"),"",IF(L177="P",0,M177-I177))</f>
        <v/>
      </c>
    </row>
    <row r="178" ht="18" customHeight="1" s="91">
      <c r="A178" s="131">
        <f>IF(C178="","",ROW()-7)</f>
        <v/>
      </c>
      <c r="B178" s="132" t="n"/>
      <c r="C178" s="132" t="n"/>
      <c r="D178" s="133" t="n"/>
      <c r="E178" s="133" t="n"/>
      <c r="F178" s="132" t="n"/>
      <c r="G178" s="134" t="n"/>
      <c r="H178" s="132" t="n"/>
      <c r="I178" s="135" t="n"/>
      <c r="J178" s="136" t="n"/>
      <c r="K178" s="132" t="n"/>
      <c r="L178" s="132" t="n"/>
      <c r="M178" s="137">
        <f>IF(OR(L178="",L178="PENDING"),"",IF(L178="P",I178,IF(L178="L",0,IF(G178&lt;0,I178+I178*100/ABS(G178),I178+I178*G178/100))))</f>
        <v/>
      </c>
      <c r="N178" s="138">
        <f>IF(OR(L178="",L178="PENDING"),"",IF(L178="P",0,IF(L178="L",-J178,IF(G178&lt;0,J178*100/ABS(G178),J178*G178/100))))</f>
        <v/>
      </c>
      <c r="O178" s="137">
        <f>IF(OR(L178="",L178="PENDING"),"",IF(L178="P",0,M178-I178))</f>
        <v/>
      </c>
    </row>
    <row r="179" ht="18" customHeight="1" s="91">
      <c r="A179" s="139">
        <f>IF(C179="","",ROW()-7)</f>
        <v/>
      </c>
      <c r="B179" s="140" t="n"/>
      <c r="C179" s="140" t="n"/>
      <c r="D179" s="141" t="n"/>
      <c r="E179" s="141" t="n"/>
      <c r="F179" s="140" t="n"/>
      <c r="G179" s="142" t="n"/>
      <c r="H179" s="140" t="n"/>
      <c r="I179" s="143" t="n"/>
      <c r="J179" s="144" t="n"/>
      <c r="K179" s="140" t="n"/>
      <c r="L179" s="140" t="n"/>
      <c r="M179" s="145">
        <f>IF(OR(L179="",L179="PENDING"),"",IF(L179="P",I179,IF(L179="L",0,IF(G179&lt;0,I179+I179*100/ABS(G179),I179+I179*G179/100))))</f>
        <v/>
      </c>
      <c r="N179" s="146">
        <f>IF(OR(L179="",L179="PENDING"),"",IF(L179="P",0,IF(L179="L",-J179,IF(G179&lt;0,J179*100/ABS(G179),J179*G179/100))))</f>
        <v/>
      </c>
      <c r="O179" s="145">
        <f>IF(OR(L179="",L179="PENDING"),"",IF(L179="P",0,M179-I179))</f>
        <v/>
      </c>
    </row>
    <row r="180" ht="18" customHeight="1" s="91">
      <c r="A180" s="131">
        <f>IF(C180="","",ROW()-7)</f>
        <v/>
      </c>
      <c r="B180" s="132" t="n"/>
      <c r="C180" s="132" t="n"/>
      <c r="D180" s="133" t="n"/>
      <c r="E180" s="133" t="n"/>
      <c r="F180" s="132" t="n"/>
      <c r="G180" s="134" t="n"/>
      <c r="H180" s="132" t="n"/>
      <c r="I180" s="135" t="n"/>
      <c r="J180" s="136" t="n"/>
      <c r="K180" s="132" t="n"/>
      <c r="L180" s="132" t="n"/>
      <c r="M180" s="137">
        <f>IF(OR(L180="",L180="PENDING"),"",IF(L180="P",I180,IF(L180="L",0,IF(G180&lt;0,I180+I180*100/ABS(G180),I180+I180*G180/100))))</f>
        <v/>
      </c>
      <c r="N180" s="138">
        <f>IF(OR(L180="",L180="PENDING"),"",IF(L180="P",0,IF(L180="L",-J180,IF(G180&lt;0,J180*100/ABS(G180),J180*G180/100))))</f>
        <v/>
      </c>
      <c r="O180" s="137">
        <f>IF(OR(L180="",L180="PENDING"),"",IF(L180="P",0,M180-I180))</f>
        <v/>
      </c>
    </row>
    <row r="181" ht="18" customHeight="1" s="91">
      <c r="A181" s="139">
        <f>IF(C181="","",ROW()-7)</f>
        <v/>
      </c>
      <c r="B181" s="140" t="n"/>
      <c r="C181" s="140" t="n"/>
      <c r="D181" s="141" t="n"/>
      <c r="E181" s="141" t="n"/>
      <c r="F181" s="140" t="n"/>
      <c r="G181" s="142" t="n"/>
      <c r="H181" s="140" t="n"/>
      <c r="I181" s="143" t="n"/>
      <c r="J181" s="144" t="n"/>
      <c r="K181" s="140" t="n"/>
      <c r="L181" s="140" t="n"/>
      <c r="M181" s="145">
        <f>IF(OR(L181="",L181="PENDING"),"",IF(L181="P",I181,IF(L181="L",0,IF(G181&lt;0,I181+I181*100/ABS(G181),I181+I181*G181/100))))</f>
        <v/>
      </c>
      <c r="N181" s="146">
        <f>IF(OR(L181="",L181="PENDING"),"",IF(L181="P",0,IF(L181="L",-J181,IF(G181&lt;0,J181*100/ABS(G181),J181*G181/100))))</f>
        <v/>
      </c>
      <c r="O181" s="145">
        <f>IF(OR(L181="",L181="PENDING"),"",IF(L181="P",0,M181-I181))</f>
        <v/>
      </c>
    </row>
    <row r="182" ht="18" customHeight="1" s="91">
      <c r="A182" s="131">
        <f>IF(C182="","",ROW()-7)</f>
        <v/>
      </c>
      <c r="B182" s="132" t="n"/>
      <c r="C182" s="132" t="n"/>
      <c r="D182" s="133" t="n"/>
      <c r="E182" s="133" t="n"/>
      <c r="F182" s="132" t="n"/>
      <c r="G182" s="134" t="n"/>
      <c r="H182" s="132" t="n"/>
      <c r="I182" s="135" t="n"/>
      <c r="J182" s="136" t="n"/>
      <c r="K182" s="132" t="n"/>
      <c r="L182" s="132" t="n"/>
      <c r="M182" s="137">
        <f>IF(OR(L182="",L182="PENDING"),"",IF(L182="P",I182,IF(L182="L",0,IF(G182&lt;0,I182+I182*100/ABS(G182),I182+I182*G182/100))))</f>
        <v/>
      </c>
      <c r="N182" s="138">
        <f>IF(OR(L182="",L182="PENDING"),"",IF(L182="P",0,IF(L182="L",-J182,IF(G182&lt;0,J182*100/ABS(G182),J182*G182/100))))</f>
        <v/>
      </c>
      <c r="O182" s="137">
        <f>IF(OR(L182="",L182="PENDING"),"",IF(L182="P",0,M182-I182))</f>
        <v/>
      </c>
    </row>
    <row r="183" ht="18" customHeight="1" s="91">
      <c r="A183" s="139">
        <f>IF(C183="","",ROW()-7)</f>
        <v/>
      </c>
      <c r="B183" s="140" t="n"/>
      <c r="C183" s="140" t="n"/>
      <c r="D183" s="141" t="n"/>
      <c r="E183" s="141" t="n"/>
      <c r="F183" s="140" t="n"/>
      <c r="G183" s="142" t="n"/>
      <c r="H183" s="140" t="n"/>
      <c r="I183" s="143" t="n"/>
      <c r="J183" s="144" t="n"/>
      <c r="K183" s="140" t="n"/>
      <c r="L183" s="140" t="n"/>
      <c r="M183" s="145">
        <f>IF(OR(L183="",L183="PENDING"),"",IF(L183="P",I183,IF(L183="L",0,IF(G183&lt;0,I183+I183*100/ABS(G183),I183+I183*G183/100))))</f>
        <v/>
      </c>
      <c r="N183" s="146">
        <f>IF(OR(L183="",L183="PENDING"),"",IF(L183="P",0,IF(L183="L",-J183,IF(G183&lt;0,J183*100/ABS(G183),J183*G183/100))))</f>
        <v/>
      </c>
      <c r="O183" s="145">
        <f>IF(OR(L183="",L183="PENDING"),"",IF(L183="P",0,M183-I183))</f>
        <v/>
      </c>
    </row>
    <row r="184" ht="18" customHeight="1" s="91">
      <c r="A184" s="131">
        <f>IF(C184="","",ROW()-7)</f>
        <v/>
      </c>
      <c r="B184" s="132" t="n"/>
      <c r="C184" s="132" t="n"/>
      <c r="D184" s="133" t="n"/>
      <c r="E184" s="133" t="n"/>
      <c r="F184" s="132" t="n"/>
      <c r="G184" s="134" t="n"/>
      <c r="H184" s="132" t="n"/>
      <c r="I184" s="135" t="n"/>
      <c r="J184" s="136" t="n"/>
      <c r="K184" s="132" t="n"/>
      <c r="L184" s="132" t="n"/>
      <c r="M184" s="137">
        <f>IF(OR(L184="",L184="PENDING"),"",IF(L184="P",I184,IF(L184="L",0,IF(G184&lt;0,I184+I184*100/ABS(G184),I184+I184*G184/100))))</f>
        <v/>
      </c>
      <c r="N184" s="138">
        <f>IF(OR(L184="",L184="PENDING"),"",IF(L184="P",0,IF(L184="L",-J184,IF(G184&lt;0,J184*100/ABS(G184),J184*G184/100))))</f>
        <v/>
      </c>
      <c r="O184" s="137">
        <f>IF(OR(L184="",L184="PENDING"),"",IF(L184="P",0,M184-I184))</f>
        <v/>
      </c>
    </row>
    <row r="185" ht="18" customHeight="1" s="91">
      <c r="A185" s="139">
        <f>IF(C185="","",ROW()-7)</f>
        <v/>
      </c>
      <c r="B185" s="140" t="n"/>
      <c r="C185" s="140" t="n"/>
      <c r="D185" s="141" t="n"/>
      <c r="E185" s="141" t="n"/>
      <c r="F185" s="140" t="n"/>
      <c r="G185" s="142" t="n"/>
      <c r="H185" s="140" t="n"/>
      <c r="I185" s="143" t="n"/>
      <c r="J185" s="144" t="n"/>
      <c r="K185" s="140" t="n"/>
      <c r="L185" s="140" t="n"/>
      <c r="M185" s="145">
        <f>IF(OR(L185="",L185="PENDING"),"",IF(L185="P",I185,IF(L185="L",0,IF(G185&lt;0,I185+I185*100/ABS(G185),I185+I185*G185/100))))</f>
        <v/>
      </c>
      <c r="N185" s="146">
        <f>IF(OR(L185="",L185="PENDING"),"",IF(L185="P",0,IF(L185="L",-J185,IF(G185&lt;0,J185*100/ABS(G185),J185*G185/100))))</f>
        <v/>
      </c>
      <c r="O185" s="145">
        <f>IF(OR(L185="",L185="PENDING"),"",IF(L185="P",0,M185-I185))</f>
        <v/>
      </c>
    </row>
    <row r="186" ht="18" customHeight="1" s="91">
      <c r="A186" s="131">
        <f>IF(C186="","",ROW()-7)</f>
        <v/>
      </c>
      <c r="B186" s="132" t="n"/>
      <c r="C186" s="132" t="n"/>
      <c r="D186" s="133" t="n"/>
      <c r="E186" s="133" t="n"/>
      <c r="F186" s="132" t="n"/>
      <c r="G186" s="134" t="n"/>
      <c r="H186" s="132" t="n"/>
      <c r="I186" s="135" t="n"/>
      <c r="J186" s="136" t="n"/>
      <c r="K186" s="132" t="n"/>
      <c r="L186" s="132" t="n"/>
      <c r="M186" s="137">
        <f>IF(OR(L186="",L186="PENDING"),"",IF(L186="P",I186,IF(L186="L",0,IF(G186&lt;0,I186+I186*100/ABS(G186),I186+I186*G186/100))))</f>
        <v/>
      </c>
      <c r="N186" s="138">
        <f>IF(OR(L186="",L186="PENDING"),"",IF(L186="P",0,IF(L186="L",-J186,IF(G186&lt;0,J186*100/ABS(G186),J186*G186/100))))</f>
        <v/>
      </c>
      <c r="O186" s="137">
        <f>IF(OR(L186="",L186="PENDING"),"",IF(L186="P",0,M186-I186))</f>
        <v/>
      </c>
    </row>
    <row r="187" ht="18" customHeight="1" s="91">
      <c r="A187" s="139">
        <f>IF(C187="","",ROW()-7)</f>
        <v/>
      </c>
      <c r="B187" s="140" t="n"/>
      <c r="C187" s="140" t="n"/>
      <c r="D187" s="141" t="n"/>
      <c r="E187" s="141" t="n"/>
      <c r="F187" s="140" t="n"/>
      <c r="G187" s="142" t="n"/>
      <c r="H187" s="140" t="n"/>
      <c r="I187" s="143" t="n"/>
      <c r="J187" s="144" t="n"/>
      <c r="K187" s="140" t="n"/>
      <c r="L187" s="140" t="n"/>
      <c r="M187" s="145">
        <f>IF(OR(L187="",L187="PENDING"),"",IF(L187="P",I187,IF(L187="L",0,IF(G187&lt;0,I187+I187*100/ABS(G187),I187+I187*G187/100))))</f>
        <v/>
      </c>
      <c r="N187" s="146">
        <f>IF(OR(L187="",L187="PENDING"),"",IF(L187="P",0,IF(L187="L",-J187,IF(G187&lt;0,J187*100/ABS(G187),J187*G187/100))))</f>
        <v/>
      </c>
      <c r="O187" s="145">
        <f>IF(OR(L187="",L187="PENDING"),"",IF(L187="P",0,M187-I187))</f>
        <v/>
      </c>
    </row>
    <row r="188" ht="18" customHeight="1" s="91">
      <c r="A188" s="131">
        <f>IF(C188="","",ROW()-7)</f>
        <v/>
      </c>
      <c r="B188" s="132" t="n"/>
      <c r="C188" s="132" t="n"/>
      <c r="D188" s="133" t="n"/>
      <c r="E188" s="133" t="n"/>
      <c r="F188" s="132" t="n"/>
      <c r="G188" s="134" t="n"/>
      <c r="H188" s="132" t="n"/>
      <c r="I188" s="135" t="n"/>
      <c r="J188" s="136" t="n"/>
      <c r="K188" s="132" t="n"/>
      <c r="L188" s="132" t="n"/>
      <c r="M188" s="137">
        <f>IF(OR(L188="",L188="PENDING"),"",IF(L188="P",I188,IF(L188="L",0,IF(G188&lt;0,I188+I188*100/ABS(G188),I188+I188*G188/100))))</f>
        <v/>
      </c>
      <c r="N188" s="138">
        <f>IF(OR(L188="",L188="PENDING"),"",IF(L188="P",0,IF(L188="L",-J188,IF(G188&lt;0,J188*100/ABS(G188),J188*G188/100))))</f>
        <v/>
      </c>
      <c r="O188" s="137">
        <f>IF(OR(L188="",L188="PENDING"),"",IF(L188="P",0,M188-I188))</f>
        <v/>
      </c>
    </row>
    <row r="189" ht="18" customHeight="1" s="91">
      <c r="A189" s="139">
        <f>IF(C189="","",ROW()-7)</f>
        <v/>
      </c>
      <c r="B189" s="140" t="n"/>
      <c r="C189" s="140" t="n"/>
      <c r="D189" s="141" t="n"/>
      <c r="E189" s="141" t="n"/>
      <c r="F189" s="140" t="n"/>
      <c r="G189" s="142" t="n"/>
      <c r="H189" s="140" t="n"/>
      <c r="I189" s="143" t="n"/>
      <c r="J189" s="144" t="n"/>
      <c r="K189" s="140" t="n"/>
      <c r="L189" s="140" t="n"/>
      <c r="M189" s="145">
        <f>IF(OR(L189="",L189="PENDING"),"",IF(L189="P",I189,IF(L189="L",0,IF(G189&lt;0,I189+I189*100/ABS(G189),I189+I189*G189/100))))</f>
        <v/>
      </c>
      <c r="N189" s="146">
        <f>IF(OR(L189="",L189="PENDING"),"",IF(L189="P",0,IF(L189="L",-J189,IF(G189&lt;0,J189*100/ABS(G189),J189*G189/100))))</f>
        <v/>
      </c>
      <c r="O189" s="145">
        <f>IF(OR(L189="",L189="PENDING"),"",IF(L189="P",0,M189-I189))</f>
        <v/>
      </c>
    </row>
    <row r="190" ht="18" customHeight="1" s="91">
      <c r="A190" s="131">
        <f>IF(C190="","",ROW()-7)</f>
        <v/>
      </c>
      <c r="B190" s="132" t="n"/>
      <c r="C190" s="132" t="n"/>
      <c r="D190" s="133" t="n"/>
      <c r="E190" s="133" t="n"/>
      <c r="F190" s="132" t="n"/>
      <c r="G190" s="134" t="n"/>
      <c r="H190" s="132" t="n"/>
      <c r="I190" s="135" t="n"/>
      <c r="J190" s="136" t="n"/>
      <c r="K190" s="132" t="n"/>
      <c r="L190" s="132" t="n"/>
      <c r="M190" s="137">
        <f>IF(OR(L190="",L190="PENDING"),"",IF(L190="P",I190,IF(L190="L",0,IF(G190&lt;0,I190+I190*100/ABS(G190),I190+I190*G190/100))))</f>
        <v/>
      </c>
      <c r="N190" s="138">
        <f>IF(OR(L190="",L190="PENDING"),"",IF(L190="P",0,IF(L190="L",-J190,IF(G190&lt;0,J190*100/ABS(G190),J190*G190/100))))</f>
        <v/>
      </c>
      <c r="O190" s="137">
        <f>IF(OR(L190="",L190="PENDING"),"",IF(L190="P",0,M190-I190))</f>
        <v/>
      </c>
    </row>
    <row r="191" ht="18" customHeight="1" s="91">
      <c r="A191" s="139">
        <f>IF(C191="","",ROW()-7)</f>
        <v/>
      </c>
      <c r="B191" s="140" t="n"/>
      <c r="C191" s="140" t="n"/>
      <c r="D191" s="141" t="n"/>
      <c r="E191" s="141" t="n"/>
      <c r="F191" s="140" t="n"/>
      <c r="G191" s="142" t="n"/>
      <c r="H191" s="140" t="n"/>
      <c r="I191" s="143" t="n"/>
      <c r="J191" s="144" t="n"/>
      <c r="K191" s="140" t="n"/>
      <c r="L191" s="140" t="n"/>
      <c r="M191" s="145">
        <f>IF(OR(L191="",L191="PENDING"),"",IF(L191="P",I191,IF(L191="L",0,IF(G191&lt;0,I191+I191*100/ABS(G191),I191+I191*G191/100))))</f>
        <v/>
      </c>
      <c r="N191" s="146">
        <f>IF(OR(L191="",L191="PENDING"),"",IF(L191="P",0,IF(L191="L",-J191,IF(G191&lt;0,J191*100/ABS(G191),J191*G191/100))))</f>
        <v/>
      </c>
      <c r="O191" s="145">
        <f>IF(OR(L191="",L191="PENDING"),"",IF(L191="P",0,M191-I191))</f>
        <v/>
      </c>
    </row>
    <row r="192" ht="18" customHeight="1" s="91">
      <c r="A192" s="131">
        <f>IF(C192="","",ROW()-7)</f>
        <v/>
      </c>
      <c r="B192" s="132" t="n"/>
      <c r="C192" s="132" t="n"/>
      <c r="D192" s="133" t="n"/>
      <c r="E192" s="133" t="n"/>
      <c r="F192" s="132" t="n"/>
      <c r="G192" s="134" t="n"/>
      <c r="H192" s="132" t="n"/>
      <c r="I192" s="135" t="n"/>
      <c r="J192" s="136" t="n"/>
      <c r="K192" s="132" t="n"/>
      <c r="L192" s="132" t="n"/>
      <c r="M192" s="137">
        <f>IF(OR(L192="",L192="PENDING"),"",IF(L192="P",I192,IF(L192="L",0,IF(G192&lt;0,I192+I192*100/ABS(G192),I192+I192*G192/100))))</f>
        <v/>
      </c>
      <c r="N192" s="138">
        <f>IF(OR(L192="",L192="PENDING"),"",IF(L192="P",0,IF(L192="L",-J192,IF(G192&lt;0,J192*100/ABS(G192),J192*G192/100))))</f>
        <v/>
      </c>
      <c r="O192" s="137">
        <f>IF(OR(L192="",L192="PENDING"),"",IF(L192="P",0,M192-I192))</f>
        <v/>
      </c>
    </row>
    <row r="193" ht="18" customHeight="1" s="91">
      <c r="A193" s="139">
        <f>IF(C193="","",ROW()-7)</f>
        <v/>
      </c>
      <c r="B193" s="140" t="n"/>
      <c r="C193" s="140" t="n"/>
      <c r="D193" s="141" t="n"/>
      <c r="E193" s="141" t="n"/>
      <c r="F193" s="140" t="n"/>
      <c r="G193" s="142" t="n"/>
      <c r="H193" s="140" t="n"/>
      <c r="I193" s="143" t="n"/>
      <c r="J193" s="144" t="n"/>
      <c r="K193" s="140" t="n"/>
      <c r="L193" s="140" t="n"/>
      <c r="M193" s="145">
        <f>IF(OR(L193="",L193="PENDING"),"",IF(L193="P",I193,IF(L193="L",0,IF(G193&lt;0,I193+I193*100/ABS(G193),I193+I193*G193/100))))</f>
        <v/>
      </c>
      <c r="N193" s="146">
        <f>IF(OR(L193="",L193="PENDING"),"",IF(L193="P",0,IF(L193="L",-J193,IF(G193&lt;0,J193*100/ABS(G193),J193*G193/100))))</f>
        <v/>
      </c>
      <c r="O193" s="145">
        <f>IF(OR(L193="",L193="PENDING"),"",IF(L193="P",0,M193-I193))</f>
        <v/>
      </c>
    </row>
    <row r="194" ht="18" customHeight="1" s="91">
      <c r="A194" s="131">
        <f>IF(C194="","",ROW()-7)</f>
        <v/>
      </c>
      <c r="B194" s="132" t="n"/>
      <c r="C194" s="132" t="n"/>
      <c r="D194" s="133" t="n"/>
      <c r="E194" s="133" t="n"/>
      <c r="F194" s="132" t="n"/>
      <c r="G194" s="134" t="n"/>
      <c r="H194" s="132" t="n"/>
      <c r="I194" s="135" t="n"/>
      <c r="J194" s="136" t="n"/>
      <c r="K194" s="132" t="n"/>
      <c r="L194" s="132" t="n"/>
      <c r="M194" s="137">
        <f>IF(OR(L194="",L194="PENDING"),"",IF(L194="P",I194,IF(L194="L",0,IF(G194&lt;0,I194+I194*100/ABS(G194),I194+I194*G194/100))))</f>
        <v/>
      </c>
      <c r="N194" s="138">
        <f>IF(OR(L194="",L194="PENDING"),"",IF(L194="P",0,IF(L194="L",-J194,IF(G194&lt;0,J194*100/ABS(G194),J194*G194/100))))</f>
        <v/>
      </c>
      <c r="O194" s="137">
        <f>IF(OR(L194="",L194="PENDING"),"",IF(L194="P",0,M194-I194))</f>
        <v/>
      </c>
    </row>
    <row r="195" ht="18" customHeight="1" s="91">
      <c r="A195" s="139">
        <f>IF(C195="","",ROW()-7)</f>
        <v/>
      </c>
      <c r="B195" s="140" t="n"/>
      <c r="C195" s="140" t="n"/>
      <c r="D195" s="141" t="n"/>
      <c r="E195" s="141" t="n"/>
      <c r="F195" s="140" t="n"/>
      <c r="G195" s="142" t="n"/>
      <c r="H195" s="140" t="n"/>
      <c r="I195" s="143" t="n"/>
      <c r="J195" s="144" t="n"/>
      <c r="K195" s="140" t="n"/>
      <c r="L195" s="140" t="n"/>
      <c r="M195" s="145">
        <f>IF(OR(L195="",L195="PENDING"),"",IF(L195="P",I195,IF(L195="L",0,IF(G195&lt;0,I195+I195*100/ABS(G195),I195+I195*G195/100))))</f>
        <v/>
      </c>
      <c r="N195" s="146">
        <f>IF(OR(L195="",L195="PENDING"),"",IF(L195="P",0,IF(L195="L",-J195,IF(G195&lt;0,J195*100/ABS(G195),J195*G195/100))))</f>
        <v/>
      </c>
      <c r="O195" s="145">
        <f>IF(OR(L195="",L195="PENDING"),"",IF(L195="P",0,M195-I195))</f>
        <v/>
      </c>
    </row>
    <row r="196" ht="18" customHeight="1" s="91">
      <c r="A196" s="131">
        <f>IF(C196="","",ROW()-7)</f>
        <v/>
      </c>
      <c r="B196" s="132" t="n"/>
      <c r="C196" s="132" t="n"/>
      <c r="D196" s="133" t="n"/>
      <c r="E196" s="133" t="n"/>
      <c r="F196" s="132" t="n"/>
      <c r="G196" s="134" t="n"/>
      <c r="H196" s="132" t="n"/>
      <c r="I196" s="135" t="n"/>
      <c r="J196" s="136" t="n"/>
      <c r="K196" s="132" t="n"/>
      <c r="L196" s="132" t="n"/>
      <c r="M196" s="137">
        <f>IF(OR(L196="",L196="PENDING"),"",IF(L196="P",I196,IF(L196="L",0,IF(G196&lt;0,I196+I196*100/ABS(G196),I196+I196*G196/100))))</f>
        <v/>
      </c>
      <c r="N196" s="138">
        <f>IF(OR(L196="",L196="PENDING"),"",IF(L196="P",0,IF(L196="L",-J196,IF(G196&lt;0,J196*100/ABS(G196),J196*G196/100))))</f>
        <v/>
      </c>
      <c r="O196" s="137">
        <f>IF(OR(L196="",L196="PENDING"),"",IF(L196="P",0,M196-I196))</f>
        <v/>
      </c>
    </row>
    <row r="197" ht="18" customHeight="1" s="91">
      <c r="A197" s="139">
        <f>IF(C197="","",ROW()-7)</f>
        <v/>
      </c>
      <c r="B197" s="140" t="n"/>
      <c r="C197" s="140" t="n"/>
      <c r="D197" s="141" t="n"/>
      <c r="E197" s="141" t="n"/>
      <c r="F197" s="140" t="n"/>
      <c r="G197" s="142" t="n"/>
      <c r="H197" s="140" t="n"/>
      <c r="I197" s="143" t="n"/>
      <c r="J197" s="144" t="n"/>
      <c r="K197" s="140" t="n"/>
      <c r="L197" s="140" t="n"/>
      <c r="M197" s="145">
        <f>IF(OR(L197="",L197="PENDING"),"",IF(L197="P",I197,IF(L197="L",0,IF(G197&lt;0,I197+I197*100/ABS(G197),I197+I197*G197/100))))</f>
        <v/>
      </c>
      <c r="N197" s="146">
        <f>IF(OR(L197="",L197="PENDING"),"",IF(L197="P",0,IF(L197="L",-J197,IF(G197&lt;0,J197*100/ABS(G197),J197*G197/100))))</f>
        <v/>
      </c>
      <c r="O197" s="145">
        <f>IF(OR(L197="",L197="PENDING"),"",IF(L197="P",0,M197-I197))</f>
        <v/>
      </c>
    </row>
    <row r="198" ht="18" customHeight="1" s="91">
      <c r="A198" s="131">
        <f>IF(C198="","",ROW()-7)</f>
        <v/>
      </c>
      <c r="B198" s="132" t="n"/>
      <c r="C198" s="132" t="n"/>
      <c r="D198" s="133" t="n"/>
      <c r="E198" s="133" t="n"/>
      <c r="F198" s="132" t="n"/>
      <c r="G198" s="134" t="n"/>
      <c r="H198" s="132" t="n"/>
      <c r="I198" s="135" t="n"/>
      <c r="J198" s="136" t="n"/>
      <c r="K198" s="132" t="n"/>
      <c r="L198" s="132" t="n"/>
      <c r="M198" s="137">
        <f>IF(OR(L198="",L198="PENDING"),"",IF(L198="P",I198,IF(L198="L",0,IF(G198&lt;0,I198+I198*100/ABS(G198),I198+I198*G198/100))))</f>
        <v/>
      </c>
      <c r="N198" s="138">
        <f>IF(OR(L198="",L198="PENDING"),"",IF(L198="P",0,IF(L198="L",-J198,IF(G198&lt;0,J198*100/ABS(G198),J198*G198/100))))</f>
        <v/>
      </c>
      <c r="O198" s="137">
        <f>IF(OR(L198="",L198="PENDING"),"",IF(L198="P",0,M198-I198))</f>
        <v/>
      </c>
    </row>
    <row r="199" ht="18" customHeight="1" s="91">
      <c r="A199" s="139">
        <f>IF(C199="","",ROW()-7)</f>
        <v/>
      </c>
      <c r="B199" s="140" t="n"/>
      <c r="C199" s="140" t="n"/>
      <c r="D199" s="141" t="n"/>
      <c r="E199" s="141" t="n"/>
      <c r="F199" s="140" t="n"/>
      <c r="G199" s="142" t="n"/>
      <c r="H199" s="140" t="n"/>
      <c r="I199" s="143" t="n"/>
      <c r="J199" s="144" t="n"/>
      <c r="K199" s="140" t="n"/>
      <c r="L199" s="140" t="n"/>
      <c r="M199" s="145">
        <f>IF(OR(L199="",L199="PENDING"),"",IF(L199="P",I199,IF(L199="L",0,IF(G199&lt;0,I199+I199*100/ABS(G199),I199+I199*G199/100))))</f>
        <v/>
      </c>
      <c r="N199" s="146">
        <f>IF(OR(L199="",L199="PENDING"),"",IF(L199="P",0,IF(L199="L",-J199,IF(G199&lt;0,J199*100/ABS(G199),J199*G199/100))))</f>
        <v/>
      </c>
      <c r="O199" s="145">
        <f>IF(OR(L199="",L199="PENDING"),"",IF(L199="P",0,M199-I199))</f>
        <v/>
      </c>
    </row>
    <row r="200" ht="18" customHeight="1" s="91">
      <c r="A200" s="131">
        <f>IF(C200="","",ROW()-7)</f>
        <v/>
      </c>
      <c r="B200" s="132" t="n"/>
      <c r="C200" s="132" t="n"/>
      <c r="D200" s="133" t="n"/>
      <c r="E200" s="133" t="n"/>
      <c r="F200" s="132" t="n"/>
      <c r="G200" s="134" t="n"/>
      <c r="H200" s="132" t="n"/>
      <c r="I200" s="135" t="n"/>
      <c r="J200" s="136" t="n"/>
      <c r="K200" s="132" t="n"/>
      <c r="L200" s="132" t="n"/>
      <c r="M200" s="137">
        <f>IF(OR(L200="",L200="PENDING"),"",IF(L200="P",I200,IF(L200="L",0,IF(G200&lt;0,I200+I200*100/ABS(G200),I200+I200*G200/100))))</f>
        <v/>
      </c>
      <c r="N200" s="138">
        <f>IF(OR(L200="",L200="PENDING"),"",IF(L200="P",0,IF(L200="L",-J200,IF(G200&lt;0,J200*100/ABS(G200),J200*G200/100))))</f>
        <v/>
      </c>
      <c r="O200" s="137">
        <f>IF(OR(L200="",L200="PENDING"),"",IF(L200="P",0,M200-I200))</f>
        <v/>
      </c>
    </row>
    <row r="201" ht="18" customHeight="1" s="91">
      <c r="A201" s="139">
        <f>IF(C201="","",ROW()-7)</f>
        <v/>
      </c>
      <c r="B201" s="140" t="n"/>
      <c r="C201" s="140" t="n"/>
      <c r="D201" s="141" t="n"/>
      <c r="E201" s="141" t="n"/>
      <c r="F201" s="140" t="n"/>
      <c r="G201" s="142" t="n"/>
      <c r="H201" s="140" t="n"/>
      <c r="I201" s="143" t="n"/>
      <c r="J201" s="144" t="n"/>
      <c r="K201" s="140" t="n"/>
      <c r="L201" s="140" t="n"/>
      <c r="M201" s="145">
        <f>IF(OR(L201="",L201="PENDING"),"",IF(L201="P",I201,IF(L201="L",0,IF(G201&lt;0,I201+I201*100/ABS(G201),I201+I201*G201/100))))</f>
        <v/>
      </c>
      <c r="N201" s="146">
        <f>IF(OR(L201="",L201="PENDING"),"",IF(L201="P",0,IF(L201="L",-J201,IF(G201&lt;0,J201*100/ABS(G201),J201*G201/100))))</f>
        <v/>
      </c>
      <c r="O201" s="145">
        <f>IF(OR(L201="",L201="PENDING"),"",IF(L201="P",0,M201-I201))</f>
        <v/>
      </c>
    </row>
    <row r="202" ht="18" customHeight="1" s="91">
      <c r="A202" s="131">
        <f>IF(C202="","",ROW()-7)</f>
        <v/>
      </c>
      <c r="B202" s="132" t="n"/>
      <c r="C202" s="132" t="n"/>
      <c r="D202" s="133" t="n"/>
      <c r="E202" s="133" t="n"/>
      <c r="F202" s="132" t="n"/>
      <c r="G202" s="134" t="n"/>
      <c r="H202" s="132" t="n"/>
      <c r="I202" s="135" t="n"/>
      <c r="J202" s="136" t="n"/>
      <c r="K202" s="132" t="n"/>
      <c r="L202" s="132" t="n"/>
      <c r="M202" s="137">
        <f>IF(OR(L202="",L202="PENDING"),"",IF(L202="P",I202,IF(L202="L",0,IF(G202&lt;0,I202+I202*100/ABS(G202),I202+I202*G202/100))))</f>
        <v/>
      </c>
      <c r="N202" s="138">
        <f>IF(OR(L202="",L202="PENDING"),"",IF(L202="P",0,IF(L202="L",-J202,IF(G202&lt;0,J202*100/ABS(G202),J202*G202/100))))</f>
        <v/>
      </c>
      <c r="O202" s="137">
        <f>IF(OR(L202="",L202="PENDING"),"",IF(L202="P",0,M202-I202))</f>
        <v/>
      </c>
    </row>
    <row r="203" ht="18" customHeight="1" s="91">
      <c r="A203" s="139">
        <f>IF(C203="","",ROW()-7)</f>
        <v/>
      </c>
      <c r="B203" s="140" t="n"/>
      <c r="C203" s="140" t="n"/>
      <c r="D203" s="141" t="n"/>
      <c r="E203" s="141" t="n"/>
      <c r="F203" s="140" t="n"/>
      <c r="G203" s="142" t="n"/>
      <c r="H203" s="140" t="n"/>
      <c r="I203" s="143" t="n"/>
      <c r="J203" s="144" t="n"/>
      <c r="K203" s="140" t="n"/>
      <c r="L203" s="140" t="n"/>
      <c r="M203" s="145">
        <f>IF(OR(L203="",L203="PENDING"),"",IF(L203="P",I203,IF(L203="L",0,IF(G203&lt;0,I203+I203*100/ABS(G203),I203+I203*G203/100))))</f>
        <v/>
      </c>
      <c r="N203" s="146">
        <f>IF(OR(L203="",L203="PENDING"),"",IF(L203="P",0,IF(L203="L",-J203,IF(G203&lt;0,J203*100/ABS(G203),J203*G203/100))))</f>
        <v/>
      </c>
      <c r="O203" s="145">
        <f>IF(OR(L203="",L203="PENDING"),"",IF(L203="P",0,M203-I203))</f>
        <v/>
      </c>
    </row>
    <row r="204" ht="18" customHeight="1" s="91">
      <c r="A204" s="131">
        <f>IF(C204="","",ROW()-7)</f>
        <v/>
      </c>
      <c r="B204" s="132" t="n"/>
      <c r="C204" s="132" t="n"/>
      <c r="D204" s="133" t="n"/>
      <c r="E204" s="133" t="n"/>
      <c r="F204" s="132" t="n"/>
      <c r="G204" s="134" t="n"/>
      <c r="H204" s="132" t="n"/>
      <c r="I204" s="135" t="n"/>
      <c r="J204" s="136" t="n"/>
      <c r="K204" s="132" t="n"/>
      <c r="L204" s="132" t="n"/>
      <c r="M204" s="137">
        <f>IF(OR(L204="",L204="PENDING"),"",IF(L204="P",I204,IF(L204="L",0,IF(G204&lt;0,I204+I204*100/ABS(G204),I204+I204*G204/100))))</f>
        <v/>
      </c>
      <c r="N204" s="138">
        <f>IF(OR(L204="",L204="PENDING"),"",IF(L204="P",0,IF(L204="L",-J204,IF(G204&lt;0,J204*100/ABS(G204),J204*G204/100))))</f>
        <v/>
      </c>
      <c r="O204" s="137">
        <f>IF(OR(L204="",L204="PENDING"),"",IF(L204="P",0,M204-I204))</f>
        <v/>
      </c>
    </row>
    <row r="205" ht="18" customHeight="1" s="91">
      <c r="A205" s="139">
        <f>IF(C205="","",ROW()-7)</f>
        <v/>
      </c>
      <c r="B205" s="140" t="n"/>
      <c r="C205" s="140" t="n"/>
      <c r="D205" s="141" t="n"/>
      <c r="E205" s="141" t="n"/>
      <c r="F205" s="140" t="n"/>
      <c r="G205" s="142" t="n"/>
      <c r="H205" s="140" t="n"/>
      <c r="I205" s="143" t="n"/>
      <c r="J205" s="144" t="n"/>
      <c r="K205" s="140" t="n"/>
      <c r="L205" s="140" t="n"/>
      <c r="M205" s="145">
        <f>IF(OR(L205="",L205="PENDING"),"",IF(L205="P",I205,IF(L205="L",0,IF(G205&lt;0,I205+I205*100/ABS(G205),I205+I205*G205/100))))</f>
        <v/>
      </c>
      <c r="N205" s="146">
        <f>IF(OR(L205="",L205="PENDING"),"",IF(L205="P",0,IF(L205="L",-J205,IF(G205&lt;0,J205*100/ABS(G205),J205*G205/100))))</f>
        <v/>
      </c>
      <c r="O205" s="145">
        <f>IF(OR(L205="",L205="PENDING"),"",IF(L205="P",0,M205-I205))</f>
        <v/>
      </c>
    </row>
    <row r="206" ht="18" customHeight="1" s="91">
      <c r="A206" s="131">
        <f>IF(C206="","",ROW()-7)</f>
        <v/>
      </c>
      <c r="B206" s="132" t="n"/>
      <c r="C206" s="132" t="n"/>
      <c r="D206" s="133" t="n"/>
      <c r="E206" s="133" t="n"/>
      <c r="F206" s="132" t="n"/>
      <c r="G206" s="134" t="n"/>
      <c r="H206" s="132" t="n"/>
      <c r="I206" s="135" t="n"/>
      <c r="J206" s="136" t="n"/>
      <c r="K206" s="132" t="n"/>
      <c r="L206" s="132" t="n"/>
      <c r="M206" s="137">
        <f>IF(OR(L206="",L206="PENDING"),"",IF(L206="P",I206,IF(L206="L",0,IF(G206&lt;0,I206+I206*100/ABS(G206),I206+I206*G206/100))))</f>
        <v/>
      </c>
      <c r="N206" s="138">
        <f>IF(OR(L206="",L206="PENDING"),"",IF(L206="P",0,IF(L206="L",-J206,IF(G206&lt;0,J206*100/ABS(G206),J206*G206/100))))</f>
        <v/>
      </c>
      <c r="O206" s="137">
        <f>IF(OR(L206="",L206="PENDING"),"",IF(L206="P",0,M206-I206))</f>
        <v/>
      </c>
    </row>
    <row r="207" ht="18" customHeight="1" s="91">
      <c r="A207" s="139">
        <f>IF(C207="","",ROW()-7)</f>
        <v/>
      </c>
      <c r="B207" s="140" t="n"/>
      <c r="C207" s="140" t="n"/>
      <c r="D207" s="141" t="n"/>
      <c r="E207" s="141" t="n"/>
      <c r="F207" s="140" t="n"/>
      <c r="G207" s="142" t="n"/>
      <c r="H207" s="140" t="n"/>
      <c r="I207" s="143" t="n"/>
      <c r="J207" s="144" t="n"/>
      <c r="K207" s="140" t="n"/>
      <c r="L207" s="140" t="n"/>
      <c r="M207" s="145">
        <f>IF(OR(L207="",L207="PENDING"),"",IF(L207="P",I207,IF(L207="L",0,IF(G207&lt;0,I207+I207*100/ABS(G207),I207+I207*G207/100))))</f>
        <v/>
      </c>
      <c r="N207" s="146">
        <f>IF(OR(L207="",L207="PENDING"),"",IF(L207="P",0,IF(L207="L",-J207,IF(G207&lt;0,J207*100/ABS(G207),J207*G207/100))))</f>
        <v/>
      </c>
      <c r="O207" s="145">
        <f>IF(OR(L207="",L207="PENDING"),"",IF(L207="P",0,M207-I207))</f>
        <v/>
      </c>
    </row>
    <row r="208" ht="18" customHeight="1" s="91">
      <c r="A208" s="131">
        <f>IF(C208="","",ROW()-7)</f>
        <v/>
      </c>
      <c r="B208" s="132" t="n"/>
      <c r="C208" s="132" t="n"/>
      <c r="D208" s="133" t="n"/>
      <c r="E208" s="133" t="n"/>
      <c r="F208" s="132" t="n"/>
      <c r="G208" s="134" t="n"/>
      <c r="H208" s="132" t="n"/>
      <c r="I208" s="135" t="n"/>
      <c r="J208" s="136" t="n"/>
      <c r="K208" s="132" t="n"/>
      <c r="L208" s="132" t="n"/>
      <c r="M208" s="137">
        <f>IF(OR(L208="",L208="PENDING"),"",IF(L208="P",I208,IF(L208="L",0,IF(G208&lt;0,I208+I208*100/ABS(G208),I208+I208*G208/100))))</f>
        <v/>
      </c>
      <c r="N208" s="138">
        <f>IF(OR(L208="",L208="PENDING"),"",IF(L208="P",0,IF(L208="L",-J208,IF(G208&lt;0,J208*100/ABS(G208),J208*G208/100))))</f>
        <v/>
      </c>
      <c r="O208" s="137">
        <f>IF(OR(L208="",L208="PENDING"),"",IF(L208="P",0,M208-I208))</f>
        <v/>
      </c>
    </row>
    <row r="209" ht="18" customHeight="1" s="91">
      <c r="A209" s="139">
        <f>IF(C209="","",ROW()-7)</f>
        <v/>
      </c>
      <c r="B209" s="140" t="n"/>
      <c r="C209" s="140" t="n"/>
      <c r="D209" s="141" t="n"/>
      <c r="E209" s="141" t="n"/>
      <c r="F209" s="140" t="n"/>
      <c r="G209" s="142" t="n"/>
      <c r="H209" s="140" t="n"/>
      <c r="I209" s="143" t="n"/>
      <c r="J209" s="144" t="n"/>
      <c r="K209" s="140" t="n"/>
      <c r="L209" s="140" t="n"/>
      <c r="M209" s="145">
        <f>IF(OR(L209="",L209="PENDING"),"",IF(L209="P",I209,IF(L209="L",0,IF(G209&lt;0,I209+I209*100/ABS(G209),I209+I209*G209/100))))</f>
        <v/>
      </c>
      <c r="N209" s="146">
        <f>IF(OR(L209="",L209="PENDING"),"",IF(L209="P",0,IF(L209="L",-J209,IF(G209&lt;0,J209*100/ABS(G209),J209*G209/100))))</f>
        <v/>
      </c>
      <c r="O209" s="145">
        <f>IF(OR(L209="",L209="PENDING"),"",IF(L209="P",0,M209-I209))</f>
        <v/>
      </c>
    </row>
    <row r="210" ht="18" customHeight="1" s="91">
      <c r="A210" s="131">
        <f>IF(C210="","",ROW()-7)</f>
        <v/>
      </c>
      <c r="B210" s="132" t="n"/>
      <c r="C210" s="132" t="n"/>
      <c r="D210" s="133" t="n"/>
      <c r="E210" s="133" t="n"/>
      <c r="F210" s="132" t="n"/>
      <c r="G210" s="134" t="n"/>
      <c r="H210" s="132" t="n"/>
      <c r="I210" s="135" t="n"/>
      <c r="J210" s="136" t="n"/>
      <c r="K210" s="132" t="n"/>
      <c r="L210" s="132" t="n"/>
      <c r="M210" s="137">
        <f>IF(OR(L210="",L210="PENDING"),"",IF(L210="P",I210,IF(L210="L",0,IF(G210&lt;0,I210+I210*100/ABS(G210),I210+I210*G210/100))))</f>
        <v/>
      </c>
      <c r="N210" s="138">
        <f>IF(OR(L210="",L210="PENDING"),"",IF(L210="P",0,IF(L210="L",-J210,IF(G210&lt;0,J210*100/ABS(G210),J210*G210/100))))</f>
        <v/>
      </c>
      <c r="O210" s="137">
        <f>IF(OR(L210="",L210="PENDING"),"",IF(L210="P",0,M210-I210))</f>
        <v/>
      </c>
    </row>
    <row r="211" ht="18" customHeight="1" s="91">
      <c r="A211" s="139">
        <f>IF(C211="","",ROW()-7)</f>
        <v/>
      </c>
      <c r="B211" s="140" t="n"/>
      <c r="C211" s="140" t="n"/>
      <c r="D211" s="141" t="n"/>
      <c r="E211" s="141" t="n"/>
      <c r="F211" s="140" t="n"/>
      <c r="G211" s="142" t="n"/>
      <c r="H211" s="140" t="n"/>
      <c r="I211" s="143" t="n"/>
      <c r="J211" s="144" t="n"/>
      <c r="K211" s="140" t="n"/>
      <c r="L211" s="140" t="n"/>
      <c r="M211" s="145">
        <f>IF(OR(L211="",L211="PENDING"),"",IF(L211="P",I211,IF(L211="L",0,IF(G211&lt;0,I211+I211*100/ABS(G211),I211+I211*G211/100))))</f>
        <v/>
      </c>
      <c r="N211" s="146">
        <f>IF(OR(L211="",L211="PENDING"),"",IF(L211="P",0,IF(L211="L",-J211,IF(G211&lt;0,J211*100/ABS(G211),J211*G211/100))))</f>
        <v/>
      </c>
      <c r="O211" s="145">
        <f>IF(OR(L211="",L211="PENDING"),"",IF(L211="P",0,M211-I211))</f>
        <v/>
      </c>
    </row>
    <row r="212" ht="18" customHeight="1" s="91">
      <c r="A212" s="131">
        <f>IF(C212="","",ROW()-7)</f>
        <v/>
      </c>
      <c r="B212" s="132" t="n"/>
      <c r="C212" s="132" t="n"/>
      <c r="D212" s="133" t="n"/>
      <c r="E212" s="133" t="n"/>
      <c r="F212" s="132" t="n"/>
      <c r="G212" s="134" t="n"/>
      <c r="H212" s="132" t="n"/>
      <c r="I212" s="135" t="n"/>
      <c r="J212" s="136" t="n"/>
      <c r="K212" s="132" t="n"/>
      <c r="L212" s="132" t="n"/>
      <c r="M212" s="137">
        <f>IF(OR(L212="",L212="PENDING"),"",IF(L212="P",I212,IF(L212="L",0,IF(G212&lt;0,I212+I212*100/ABS(G212),I212+I212*G212/100))))</f>
        <v/>
      </c>
      <c r="N212" s="138">
        <f>IF(OR(L212="",L212="PENDING"),"",IF(L212="P",0,IF(L212="L",-J212,IF(G212&lt;0,J212*100/ABS(G212),J212*G212/100))))</f>
        <v/>
      </c>
      <c r="O212" s="137">
        <f>IF(OR(L212="",L212="PENDING"),"",IF(L212="P",0,M212-I212))</f>
        <v/>
      </c>
    </row>
    <row r="213" ht="18" customHeight="1" s="91">
      <c r="A213" s="139">
        <f>IF(C213="","",ROW()-7)</f>
        <v/>
      </c>
      <c r="B213" s="140" t="n"/>
      <c r="C213" s="140" t="n"/>
      <c r="D213" s="141" t="n"/>
      <c r="E213" s="141" t="n"/>
      <c r="F213" s="140" t="n"/>
      <c r="G213" s="142" t="n"/>
      <c r="H213" s="140" t="n"/>
      <c r="I213" s="143" t="n"/>
      <c r="J213" s="144" t="n"/>
      <c r="K213" s="140" t="n"/>
      <c r="L213" s="140" t="n"/>
      <c r="M213" s="145">
        <f>IF(OR(L213="",L213="PENDING"),"",IF(L213="P",I213,IF(L213="L",0,IF(G213&lt;0,I213+I213*100/ABS(G213),I213+I213*G213/100))))</f>
        <v/>
      </c>
      <c r="N213" s="146">
        <f>IF(OR(L213="",L213="PENDING"),"",IF(L213="P",0,IF(L213="L",-J213,IF(G213&lt;0,J213*100/ABS(G213),J213*G213/100))))</f>
        <v/>
      </c>
      <c r="O213" s="145">
        <f>IF(OR(L213="",L213="PENDING"),"",IF(L213="P",0,M213-I213))</f>
        <v/>
      </c>
    </row>
    <row r="214" ht="18" customHeight="1" s="91">
      <c r="A214" s="131">
        <f>IF(C214="","",ROW()-7)</f>
        <v/>
      </c>
      <c r="B214" s="132" t="n"/>
      <c r="C214" s="132" t="n"/>
      <c r="D214" s="133" t="n"/>
      <c r="E214" s="133" t="n"/>
      <c r="F214" s="132" t="n"/>
      <c r="G214" s="134" t="n"/>
      <c r="H214" s="132" t="n"/>
      <c r="I214" s="135" t="n"/>
      <c r="J214" s="136" t="n"/>
      <c r="K214" s="132" t="n"/>
      <c r="L214" s="132" t="n"/>
      <c r="M214" s="137">
        <f>IF(OR(L214="",L214="PENDING"),"",IF(L214="P",I214,IF(L214="L",0,IF(G214&lt;0,I214+I214*100/ABS(G214),I214+I214*G214/100))))</f>
        <v/>
      </c>
      <c r="N214" s="138">
        <f>IF(OR(L214="",L214="PENDING"),"",IF(L214="P",0,IF(L214="L",-J214,IF(G214&lt;0,J214*100/ABS(G214),J214*G214/100))))</f>
        <v/>
      </c>
      <c r="O214" s="137">
        <f>IF(OR(L214="",L214="PENDING"),"",IF(L214="P",0,M214-I214))</f>
        <v/>
      </c>
    </row>
    <row r="215" ht="18" customHeight="1" s="91">
      <c r="A215" s="139">
        <f>IF(C215="","",ROW()-7)</f>
        <v/>
      </c>
      <c r="B215" s="140" t="n"/>
      <c r="C215" s="140" t="n"/>
      <c r="D215" s="141" t="n"/>
      <c r="E215" s="141" t="n"/>
      <c r="F215" s="140" t="n"/>
      <c r="G215" s="142" t="n"/>
      <c r="H215" s="140" t="n"/>
      <c r="I215" s="143" t="n"/>
      <c r="J215" s="144" t="n"/>
      <c r="K215" s="140" t="n"/>
      <c r="L215" s="140" t="n"/>
      <c r="M215" s="145">
        <f>IF(OR(L215="",L215="PENDING"),"",IF(L215="P",I215,IF(L215="L",0,IF(G215&lt;0,I215+I215*100/ABS(G215),I215+I215*G215/100))))</f>
        <v/>
      </c>
      <c r="N215" s="146">
        <f>IF(OR(L215="",L215="PENDING"),"",IF(L215="P",0,IF(L215="L",-J215,IF(G215&lt;0,J215*100/ABS(G215),J215*G215/100))))</f>
        <v/>
      </c>
      <c r="O215" s="145">
        <f>IF(OR(L215="",L215="PENDING"),"",IF(L215="P",0,M215-I215))</f>
        <v/>
      </c>
    </row>
    <row r="216" ht="18" customHeight="1" s="91">
      <c r="A216" s="131">
        <f>IF(C216="","",ROW()-7)</f>
        <v/>
      </c>
      <c r="B216" s="132" t="n"/>
      <c r="C216" s="132" t="n"/>
      <c r="D216" s="133" t="n"/>
      <c r="E216" s="133" t="n"/>
      <c r="F216" s="132" t="n"/>
      <c r="G216" s="134" t="n"/>
      <c r="H216" s="132" t="n"/>
      <c r="I216" s="135" t="n"/>
      <c r="J216" s="136" t="n"/>
      <c r="K216" s="132" t="n"/>
      <c r="L216" s="132" t="n"/>
      <c r="M216" s="137">
        <f>IF(OR(L216="",L216="PENDING"),"",IF(L216="P",I216,IF(L216="L",0,IF(G216&lt;0,I216+I216*100/ABS(G216),I216+I216*G216/100))))</f>
        <v/>
      </c>
      <c r="N216" s="138">
        <f>IF(OR(L216="",L216="PENDING"),"",IF(L216="P",0,IF(L216="L",-J216,IF(G216&lt;0,J216*100/ABS(G216),J216*G216/100))))</f>
        <v/>
      </c>
      <c r="O216" s="137">
        <f>IF(OR(L216="",L216="PENDING"),"",IF(L216="P",0,M216-I216))</f>
        <v/>
      </c>
    </row>
    <row r="217" ht="18" customHeight="1" s="91">
      <c r="A217" s="139">
        <f>IF(C217="","",ROW()-7)</f>
        <v/>
      </c>
      <c r="B217" s="140" t="n"/>
      <c r="C217" s="140" t="n"/>
      <c r="D217" s="141" t="n"/>
      <c r="E217" s="141" t="n"/>
      <c r="F217" s="140" t="n"/>
      <c r="G217" s="142" t="n"/>
      <c r="H217" s="140" t="n"/>
      <c r="I217" s="143" t="n"/>
      <c r="J217" s="144" t="n"/>
      <c r="K217" s="140" t="n"/>
      <c r="L217" s="140" t="n"/>
      <c r="M217" s="145">
        <f>IF(OR(L217="",L217="PENDING"),"",IF(L217="P",I217,IF(L217="L",0,IF(G217&lt;0,I217+I217*100/ABS(G217),I217+I217*G217/100))))</f>
        <v/>
      </c>
      <c r="N217" s="146">
        <f>IF(OR(L217="",L217="PENDING"),"",IF(L217="P",0,IF(L217="L",-J217,IF(G217&lt;0,J217*100/ABS(G217),J217*G217/100))))</f>
        <v/>
      </c>
      <c r="O217" s="145">
        <f>IF(OR(L217="",L217="PENDING"),"",IF(L217="P",0,M217-I217))</f>
        <v/>
      </c>
    </row>
    <row r="218" ht="18" customHeight="1" s="91">
      <c r="A218" s="131">
        <f>IF(C218="","",ROW()-7)</f>
        <v/>
      </c>
      <c r="B218" s="132" t="n"/>
      <c r="C218" s="132" t="n"/>
      <c r="D218" s="133" t="n"/>
      <c r="E218" s="133" t="n"/>
      <c r="F218" s="132" t="n"/>
      <c r="G218" s="134" t="n"/>
      <c r="H218" s="132" t="n"/>
      <c r="I218" s="135" t="n"/>
      <c r="J218" s="136" t="n"/>
      <c r="K218" s="132" t="n"/>
      <c r="L218" s="132" t="n"/>
      <c r="M218" s="137">
        <f>IF(OR(L218="",L218="PENDING"),"",IF(L218="P",I218,IF(L218="L",0,IF(G218&lt;0,I218+I218*100/ABS(G218),I218+I218*G218/100))))</f>
        <v/>
      </c>
      <c r="N218" s="138">
        <f>IF(OR(L218="",L218="PENDING"),"",IF(L218="P",0,IF(L218="L",-J218,IF(G218&lt;0,J218*100/ABS(G218),J218*G218/100))))</f>
        <v/>
      </c>
      <c r="O218" s="137">
        <f>IF(OR(L218="",L218="PENDING"),"",IF(L218="P",0,M218-I218))</f>
        <v/>
      </c>
    </row>
    <row r="219" ht="18" customHeight="1" s="91">
      <c r="A219" s="139">
        <f>IF(C219="","",ROW()-7)</f>
        <v/>
      </c>
      <c r="B219" s="140" t="n"/>
      <c r="C219" s="140" t="n"/>
      <c r="D219" s="141" t="n"/>
      <c r="E219" s="141" t="n"/>
      <c r="F219" s="140" t="n"/>
      <c r="G219" s="142" t="n"/>
      <c r="H219" s="140" t="n"/>
      <c r="I219" s="143" t="n"/>
      <c r="J219" s="144" t="n"/>
      <c r="K219" s="140" t="n"/>
      <c r="L219" s="140" t="n"/>
      <c r="M219" s="145">
        <f>IF(OR(L219="",L219="PENDING"),"",IF(L219="P",I219,IF(L219="L",0,IF(G219&lt;0,I219+I219*100/ABS(G219),I219+I219*G219/100))))</f>
        <v/>
      </c>
      <c r="N219" s="146">
        <f>IF(OR(L219="",L219="PENDING"),"",IF(L219="P",0,IF(L219="L",-J219,IF(G219&lt;0,J219*100/ABS(G219),J219*G219/100))))</f>
        <v/>
      </c>
      <c r="O219" s="145">
        <f>IF(OR(L219="",L219="PENDING"),"",IF(L219="P",0,M219-I219))</f>
        <v/>
      </c>
    </row>
    <row r="220" ht="18" customHeight="1" s="91">
      <c r="A220" s="131">
        <f>IF(C220="","",ROW()-7)</f>
        <v/>
      </c>
      <c r="B220" s="132" t="n"/>
      <c r="C220" s="132" t="n"/>
      <c r="D220" s="133" t="n"/>
      <c r="E220" s="133" t="n"/>
      <c r="F220" s="132" t="n"/>
      <c r="G220" s="134" t="n"/>
      <c r="H220" s="132" t="n"/>
      <c r="I220" s="135" t="n"/>
      <c r="J220" s="136" t="n"/>
      <c r="K220" s="132" t="n"/>
      <c r="L220" s="132" t="n"/>
      <c r="M220" s="137">
        <f>IF(OR(L220="",L220="PENDING"),"",IF(L220="P",I220,IF(L220="L",0,IF(G220&lt;0,I220+I220*100/ABS(G220),I220+I220*G220/100))))</f>
        <v/>
      </c>
      <c r="N220" s="138">
        <f>IF(OR(L220="",L220="PENDING"),"",IF(L220="P",0,IF(L220="L",-J220,IF(G220&lt;0,J220*100/ABS(G220),J220*G220/100))))</f>
        <v/>
      </c>
      <c r="O220" s="137">
        <f>IF(OR(L220="",L220="PENDING"),"",IF(L220="P",0,M220-I220))</f>
        <v/>
      </c>
    </row>
    <row r="221" ht="18" customHeight="1" s="91">
      <c r="A221" s="139">
        <f>IF(C221="","",ROW()-7)</f>
        <v/>
      </c>
      <c r="B221" s="140" t="n"/>
      <c r="C221" s="140" t="n"/>
      <c r="D221" s="141" t="n"/>
      <c r="E221" s="141" t="n"/>
      <c r="F221" s="140" t="n"/>
      <c r="G221" s="142" t="n"/>
      <c r="H221" s="140" t="n"/>
      <c r="I221" s="143" t="n"/>
      <c r="J221" s="144" t="n"/>
      <c r="K221" s="140" t="n"/>
      <c r="L221" s="140" t="n"/>
      <c r="M221" s="145">
        <f>IF(OR(L221="",L221="PENDING"),"",IF(L221="P",I221,IF(L221="L",0,IF(G221&lt;0,I221+I221*100/ABS(G221),I221+I221*G221/100))))</f>
        <v/>
      </c>
      <c r="N221" s="146">
        <f>IF(OR(L221="",L221="PENDING"),"",IF(L221="P",0,IF(L221="L",-J221,IF(G221&lt;0,J221*100/ABS(G221),J221*G221/100))))</f>
        <v/>
      </c>
      <c r="O221" s="145">
        <f>IF(OR(L221="",L221="PENDING"),"",IF(L221="P",0,M221-I221))</f>
        <v/>
      </c>
    </row>
    <row r="222" ht="18" customHeight="1" s="91">
      <c r="A222" s="131">
        <f>IF(C222="","",ROW()-7)</f>
        <v/>
      </c>
      <c r="B222" s="132" t="n"/>
      <c r="C222" s="132" t="n"/>
      <c r="D222" s="133" t="n"/>
      <c r="E222" s="133" t="n"/>
      <c r="F222" s="132" t="n"/>
      <c r="G222" s="134" t="n"/>
      <c r="H222" s="132" t="n"/>
      <c r="I222" s="135" t="n"/>
      <c r="J222" s="136" t="n"/>
      <c r="K222" s="132" t="n"/>
      <c r="L222" s="132" t="n"/>
      <c r="M222" s="137">
        <f>IF(OR(L222="",L222="PENDING"),"",IF(L222="P",I222,IF(L222="L",0,IF(G222&lt;0,I222+I222*100/ABS(G222),I222+I222*G222/100))))</f>
        <v/>
      </c>
      <c r="N222" s="138">
        <f>IF(OR(L222="",L222="PENDING"),"",IF(L222="P",0,IF(L222="L",-J222,IF(G222&lt;0,J222*100/ABS(G222),J222*G222/100))))</f>
        <v/>
      </c>
      <c r="O222" s="137">
        <f>IF(OR(L222="",L222="PENDING"),"",IF(L222="P",0,M222-I222))</f>
        <v/>
      </c>
    </row>
    <row r="223" ht="18" customHeight="1" s="91">
      <c r="A223" s="139">
        <f>IF(C223="","",ROW()-7)</f>
        <v/>
      </c>
      <c r="B223" s="140" t="n"/>
      <c r="C223" s="140" t="n"/>
      <c r="D223" s="141" t="n"/>
      <c r="E223" s="141" t="n"/>
      <c r="F223" s="140" t="n"/>
      <c r="G223" s="142" t="n"/>
      <c r="H223" s="140" t="n"/>
      <c r="I223" s="143" t="n"/>
      <c r="J223" s="144" t="n"/>
      <c r="K223" s="140" t="n"/>
      <c r="L223" s="140" t="n"/>
      <c r="M223" s="145">
        <f>IF(OR(L223="",L223="PENDING"),"",IF(L223="P",I223,IF(L223="L",0,IF(G223&lt;0,I223+I223*100/ABS(G223),I223+I223*G223/100))))</f>
        <v/>
      </c>
      <c r="N223" s="146">
        <f>IF(OR(L223="",L223="PENDING"),"",IF(L223="P",0,IF(L223="L",-J223,IF(G223&lt;0,J223*100/ABS(G223),J223*G223/100))))</f>
        <v/>
      </c>
      <c r="O223" s="145">
        <f>IF(OR(L223="",L223="PENDING"),"",IF(L223="P",0,M223-I223))</f>
        <v/>
      </c>
    </row>
    <row r="224" ht="18" customHeight="1" s="91">
      <c r="A224" s="131">
        <f>IF(C224="","",ROW()-7)</f>
        <v/>
      </c>
      <c r="B224" s="132" t="n"/>
      <c r="C224" s="132" t="n"/>
      <c r="D224" s="133" t="n"/>
      <c r="E224" s="133" t="n"/>
      <c r="F224" s="132" t="n"/>
      <c r="G224" s="134" t="n"/>
      <c r="H224" s="132" t="n"/>
      <c r="I224" s="135" t="n"/>
      <c r="J224" s="136" t="n"/>
      <c r="K224" s="132" t="n"/>
      <c r="L224" s="132" t="n"/>
      <c r="M224" s="137">
        <f>IF(OR(L224="",L224="PENDING"),"",IF(L224="P",I224,IF(L224="L",0,IF(G224&lt;0,I224+I224*100/ABS(G224),I224+I224*G224/100))))</f>
        <v/>
      </c>
      <c r="N224" s="138">
        <f>IF(OR(L224="",L224="PENDING"),"",IF(L224="P",0,IF(L224="L",-J224,IF(G224&lt;0,J224*100/ABS(G224),J224*G224/100))))</f>
        <v/>
      </c>
      <c r="O224" s="137">
        <f>IF(OR(L224="",L224="PENDING"),"",IF(L224="P",0,M224-I224))</f>
        <v/>
      </c>
    </row>
    <row r="225" ht="18" customHeight="1" s="91">
      <c r="A225" s="139">
        <f>IF(C225="","",ROW()-7)</f>
        <v/>
      </c>
      <c r="B225" s="140" t="n"/>
      <c r="C225" s="140" t="n"/>
      <c r="D225" s="141" t="n"/>
      <c r="E225" s="141" t="n"/>
      <c r="F225" s="140" t="n"/>
      <c r="G225" s="142" t="n"/>
      <c r="H225" s="140" t="n"/>
      <c r="I225" s="143" t="n"/>
      <c r="J225" s="144" t="n"/>
      <c r="K225" s="140" t="n"/>
      <c r="L225" s="140" t="n"/>
      <c r="M225" s="145">
        <f>IF(OR(L225="",L225="PENDING"),"",IF(L225="P",I225,IF(L225="L",0,IF(G225&lt;0,I225+I225*100/ABS(G225),I225+I225*G225/100))))</f>
        <v/>
      </c>
      <c r="N225" s="146">
        <f>IF(OR(L225="",L225="PENDING"),"",IF(L225="P",0,IF(L225="L",-J225,IF(G225&lt;0,J225*100/ABS(G225),J225*G225/100))))</f>
        <v/>
      </c>
      <c r="O225" s="145">
        <f>IF(OR(L225="",L225="PENDING"),"",IF(L225="P",0,M225-I225))</f>
        <v/>
      </c>
    </row>
    <row r="226" ht="18" customHeight="1" s="91">
      <c r="A226" s="131">
        <f>IF(C226="","",ROW()-7)</f>
        <v/>
      </c>
      <c r="B226" s="132" t="n"/>
      <c r="C226" s="132" t="n"/>
      <c r="D226" s="133" t="n"/>
      <c r="E226" s="133" t="n"/>
      <c r="F226" s="132" t="n"/>
      <c r="G226" s="134" t="n"/>
      <c r="H226" s="132" t="n"/>
      <c r="I226" s="135" t="n"/>
      <c r="J226" s="136" t="n"/>
      <c r="K226" s="132" t="n"/>
      <c r="L226" s="132" t="n"/>
      <c r="M226" s="137">
        <f>IF(OR(L226="",L226="PENDING"),"",IF(L226="P",I226,IF(L226="L",0,IF(G226&lt;0,I226+I226*100/ABS(G226),I226+I226*G226/100))))</f>
        <v/>
      </c>
      <c r="N226" s="138">
        <f>IF(OR(L226="",L226="PENDING"),"",IF(L226="P",0,IF(L226="L",-J226,IF(G226&lt;0,J226*100/ABS(G226),J226*G226/100))))</f>
        <v/>
      </c>
      <c r="O226" s="137">
        <f>IF(OR(L226="",L226="PENDING"),"",IF(L226="P",0,M226-I226))</f>
        <v/>
      </c>
    </row>
    <row r="227" ht="18" customHeight="1" s="91">
      <c r="A227" s="139">
        <f>IF(C227="","",ROW()-7)</f>
        <v/>
      </c>
      <c r="B227" s="140" t="n"/>
      <c r="C227" s="140" t="n"/>
      <c r="D227" s="141" t="n"/>
      <c r="E227" s="141" t="n"/>
      <c r="F227" s="140" t="n"/>
      <c r="G227" s="142" t="n"/>
      <c r="H227" s="140" t="n"/>
      <c r="I227" s="143" t="n"/>
      <c r="J227" s="144" t="n"/>
      <c r="K227" s="140" t="n"/>
      <c r="L227" s="140" t="n"/>
      <c r="M227" s="145">
        <f>IF(OR(L227="",L227="PENDING"),"",IF(L227="P",I227,IF(L227="L",0,IF(G227&lt;0,I227+I227*100/ABS(G227),I227+I227*G227/100))))</f>
        <v/>
      </c>
      <c r="N227" s="146">
        <f>IF(OR(L227="",L227="PENDING"),"",IF(L227="P",0,IF(L227="L",-J227,IF(G227&lt;0,J227*100/ABS(G227),J227*G227/100))))</f>
        <v/>
      </c>
      <c r="O227" s="145">
        <f>IF(OR(L227="",L227="PENDING"),"",IF(L227="P",0,M227-I227))</f>
        <v/>
      </c>
    </row>
    <row r="228" ht="18" customHeight="1" s="91">
      <c r="A228" s="131">
        <f>IF(C228="","",ROW()-7)</f>
        <v/>
      </c>
      <c r="B228" s="132" t="n"/>
      <c r="C228" s="132" t="n"/>
      <c r="D228" s="133" t="n"/>
      <c r="E228" s="133" t="n"/>
      <c r="F228" s="132" t="n"/>
      <c r="G228" s="134" t="n"/>
      <c r="H228" s="132" t="n"/>
      <c r="I228" s="135" t="n"/>
      <c r="J228" s="136" t="n"/>
      <c r="K228" s="132" t="n"/>
      <c r="L228" s="132" t="n"/>
      <c r="M228" s="137">
        <f>IF(OR(L228="",L228="PENDING"),"",IF(L228="P",I228,IF(L228="L",0,IF(G228&lt;0,I228+I228*100/ABS(G228),I228+I228*G228/100))))</f>
        <v/>
      </c>
      <c r="N228" s="138">
        <f>IF(OR(L228="",L228="PENDING"),"",IF(L228="P",0,IF(L228="L",-J228,IF(G228&lt;0,J228*100/ABS(G228),J228*G228/100))))</f>
        <v/>
      </c>
      <c r="O228" s="137">
        <f>IF(OR(L228="",L228="PENDING"),"",IF(L228="P",0,M228-I228))</f>
        <v/>
      </c>
    </row>
    <row r="229" ht="18" customHeight="1" s="91">
      <c r="A229" s="139">
        <f>IF(C229="","",ROW()-7)</f>
        <v/>
      </c>
      <c r="B229" s="140" t="n"/>
      <c r="C229" s="140" t="n"/>
      <c r="D229" s="141" t="n"/>
      <c r="E229" s="141" t="n"/>
      <c r="F229" s="140" t="n"/>
      <c r="G229" s="142" t="n"/>
      <c r="H229" s="140" t="n"/>
      <c r="I229" s="143" t="n"/>
      <c r="J229" s="144" t="n"/>
      <c r="K229" s="140" t="n"/>
      <c r="L229" s="140" t="n"/>
      <c r="M229" s="145">
        <f>IF(OR(L229="",L229="PENDING"),"",IF(L229="P",I229,IF(L229="L",0,IF(G229&lt;0,I229+I229*100/ABS(G229),I229+I229*G229/100))))</f>
        <v/>
      </c>
      <c r="N229" s="146">
        <f>IF(OR(L229="",L229="PENDING"),"",IF(L229="P",0,IF(L229="L",-J229,IF(G229&lt;0,J229*100/ABS(G229),J229*G229/100))))</f>
        <v/>
      </c>
      <c r="O229" s="145">
        <f>IF(OR(L229="",L229="PENDING"),"",IF(L229="P",0,M229-I229))</f>
        <v/>
      </c>
    </row>
    <row r="230" ht="18" customHeight="1" s="91">
      <c r="A230" s="131">
        <f>IF(C230="","",ROW()-7)</f>
        <v/>
      </c>
      <c r="B230" s="132" t="n"/>
      <c r="C230" s="132" t="n"/>
      <c r="D230" s="133" t="n"/>
      <c r="E230" s="133" t="n"/>
      <c r="F230" s="132" t="n"/>
      <c r="G230" s="134" t="n"/>
      <c r="H230" s="132" t="n"/>
      <c r="I230" s="135" t="n"/>
      <c r="J230" s="136" t="n"/>
      <c r="K230" s="132" t="n"/>
      <c r="L230" s="132" t="n"/>
      <c r="M230" s="137">
        <f>IF(OR(L230="",L230="PENDING"),"",IF(L230="P",I230,IF(L230="L",0,IF(G230&lt;0,I230+I230*100/ABS(G230),I230+I230*G230/100))))</f>
        <v/>
      </c>
      <c r="N230" s="138">
        <f>IF(OR(L230="",L230="PENDING"),"",IF(L230="P",0,IF(L230="L",-J230,IF(G230&lt;0,J230*100/ABS(G230),J230*G230/100))))</f>
        <v/>
      </c>
      <c r="O230" s="137">
        <f>IF(OR(L230="",L230="PENDING"),"",IF(L230="P",0,M230-I230))</f>
        <v/>
      </c>
    </row>
    <row r="231" ht="18" customHeight="1" s="91">
      <c r="A231" s="139">
        <f>IF(C231="","",ROW()-7)</f>
        <v/>
      </c>
      <c r="B231" s="140" t="n"/>
      <c r="C231" s="140" t="n"/>
      <c r="D231" s="141" t="n"/>
      <c r="E231" s="141" t="n"/>
      <c r="F231" s="140" t="n"/>
      <c r="G231" s="142" t="n"/>
      <c r="H231" s="140" t="n"/>
      <c r="I231" s="143" t="n"/>
      <c r="J231" s="144" t="n"/>
      <c r="K231" s="140" t="n"/>
      <c r="L231" s="140" t="n"/>
      <c r="M231" s="145">
        <f>IF(OR(L231="",L231="PENDING"),"",IF(L231="P",I231,IF(L231="L",0,IF(G231&lt;0,I231+I231*100/ABS(G231),I231+I231*G231/100))))</f>
        <v/>
      </c>
      <c r="N231" s="146">
        <f>IF(OR(L231="",L231="PENDING"),"",IF(L231="P",0,IF(L231="L",-J231,IF(G231&lt;0,J231*100/ABS(G231),J231*G231/100))))</f>
        <v/>
      </c>
      <c r="O231" s="145">
        <f>IF(OR(L231="",L231="PENDING"),"",IF(L231="P",0,M231-I231))</f>
        <v/>
      </c>
    </row>
    <row r="232" ht="18" customHeight="1" s="91">
      <c r="A232" s="131">
        <f>IF(C232="","",ROW()-7)</f>
        <v/>
      </c>
      <c r="B232" s="132" t="n"/>
      <c r="C232" s="132" t="n"/>
      <c r="D232" s="133" t="n"/>
      <c r="E232" s="133" t="n"/>
      <c r="F232" s="132" t="n"/>
      <c r="G232" s="134" t="n"/>
      <c r="H232" s="132" t="n"/>
      <c r="I232" s="135" t="n"/>
      <c r="J232" s="136" t="n"/>
      <c r="K232" s="132" t="n"/>
      <c r="L232" s="132" t="n"/>
      <c r="M232" s="137">
        <f>IF(OR(L232="",L232="PENDING"),"",IF(L232="P",I232,IF(L232="L",0,IF(G232&lt;0,I232+I232*100/ABS(G232),I232+I232*G232/100))))</f>
        <v/>
      </c>
      <c r="N232" s="138">
        <f>IF(OR(L232="",L232="PENDING"),"",IF(L232="P",0,IF(L232="L",-J232,IF(G232&lt;0,J232*100/ABS(G232),J232*G232/100))))</f>
        <v/>
      </c>
      <c r="O232" s="137">
        <f>IF(OR(L232="",L232="PENDING"),"",IF(L232="P",0,M232-I232))</f>
        <v/>
      </c>
    </row>
    <row r="233" ht="18" customHeight="1" s="91">
      <c r="A233" s="139">
        <f>IF(C233="","",ROW()-7)</f>
        <v/>
      </c>
      <c r="B233" s="140" t="n"/>
      <c r="C233" s="140" t="n"/>
      <c r="D233" s="141" t="n"/>
      <c r="E233" s="141" t="n"/>
      <c r="F233" s="140" t="n"/>
      <c r="G233" s="142" t="n"/>
      <c r="H233" s="140" t="n"/>
      <c r="I233" s="143" t="n"/>
      <c r="J233" s="144" t="n"/>
      <c r="K233" s="140" t="n"/>
      <c r="L233" s="140" t="n"/>
      <c r="M233" s="145">
        <f>IF(OR(L233="",L233="PENDING"),"",IF(L233="P",I233,IF(L233="L",0,IF(G233&lt;0,I233+I233*100/ABS(G233),I233+I233*G233/100))))</f>
        <v/>
      </c>
      <c r="N233" s="146">
        <f>IF(OR(L233="",L233="PENDING"),"",IF(L233="P",0,IF(L233="L",-J233,IF(G233&lt;0,J233*100/ABS(G233),J233*G233/100))))</f>
        <v/>
      </c>
      <c r="O233" s="145">
        <f>IF(OR(L233="",L233="PENDING"),"",IF(L233="P",0,M233-I233))</f>
        <v/>
      </c>
    </row>
    <row r="234" ht="18" customHeight="1" s="91">
      <c r="A234" s="131">
        <f>IF(C234="","",ROW()-7)</f>
        <v/>
      </c>
      <c r="B234" s="132" t="n"/>
      <c r="C234" s="132" t="n"/>
      <c r="D234" s="133" t="n"/>
      <c r="E234" s="133" t="n"/>
      <c r="F234" s="132" t="n"/>
      <c r="G234" s="134" t="n"/>
      <c r="H234" s="132" t="n"/>
      <c r="I234" s="135" t="n"/>
      <c r="J234" s="136" t="n"/>
      <c r="K234" s="132" t="n"/>
      <c r="L234" s="132" t="n"/>
      <c r="M234" s="137">
        <f>IF(OR(L234="",L234="PENDING"),"",IF(L234="P",I234,IF(L234="L",0,IF(G234&lt;0,I234+I234*100/ABS(G234),I234+I234*G234/100))))</f>
        <v/>
      </c>
      <c r="N234" s="138">
        <f>IF(OR(L234="",L234="PENDING"),"",IF(L234="P",0,IF(L234="L",-J234,IF(G234&lt;0,J234*100/ABS(G234),J234*G234/100))))</f>
        <v/>
      </c>
      <c r="O234" s="137">
        <f>IF(OR(L234="",L234="PENDING"),"",IF(L234="P",0,M234-I234))</f>
        <v/>
      </c>
    </row>
    <row r="235" ht="18" customHeight="1" s="91">
      <c r="A235" s="139">
        <f>IF(C235="","",ROW()-7)</f>
        <v/>
      </c>
      <c r="B235" s="140" t="n"/>
      <c r="C235" s="140" t="n"/>
      <c r="D235" s="141" t="n"/>
      <c r="E235" s="141" t="n"/>
      <c r="F235" s="140" t="n"/>
      <c r="G235" s="142" t="n"/>
      <c r="H235" s="140" t="n"/>
      <c r="I235" s="143" t="n"/>
      <c r="J235" s="144" t="n"/>
      <c r="K235" s="140" t="n"/>
      <c r="L235" s="140" t="n"/>
      <c r="M235" s="145">
        <f>IF(OR(L235="",L235="PENDING"),"",IF(L235="P",I235,IF(L235="L",0,IF(G235&lt;0,I235+I235*100/ABS(G235),I235+I235*G235/100))))</f>
        <v/>
      </c>
      <c r="N235" s="146">
        <f>IF(OR(L235="",L235="PENDING"),"",IF(L235="P",0,IF(L235="L",-J235,IF(G235&lt;0,J235*100/ABS(G235),J235*G235/100))))</f>
        <v/>
      </c>
      <c r="O235" s="145">
        <f>IF(OR(L235="",L235="PENDING"),"",IF(L235="P",0,M235-I235))</f>
        <v/>
      </c>
    </row>
    <row r="236" ht="18" customHeight="1" s="91">
      <c r="A236" s="131">
        <f>IF(C236="","",ROW()-7)</f>
        <v/>
      </c>
      <c r="B236" s="132" t="n"/>
      <c r="C236" s="132" t="n"/>
      <c r="D236" s="133" t="n"/>
      <c r="E236" s="133" t="n"/>
      <c r="F236" s="132" t="n"/>
      <c r="G236" s="134" t="n"/>
      <c r="H236" s="132" t="n"/>
      <c r="I236" s="135" t="n"/>
      <c r="J236" s="136" t="n"/>
      <c r="K236" s="132" t="n"/>
      <c r="L236" s="132" t="n"/>
      <c r="M236" s="137">
        <f>IF(OR(L236="",L236="PENDING"),"",IF(L236="P",I236,IF(L236="L",0,IF(G236&lt;0,I236+I236*100/ABS(G236),I236+I236*G236/100))))</f>
        <v/>
      </c>
      <c r="N236" s="138">
        <f>IF(OR(L236="",L236="PENDING"),"",IF(L236="P",0,IF(L236="L",-J236,IF(G236&lt;0,J236*100/ABS(G236),J236*G236/100))))</f>
        <v/>
      </c>
      <c r="O236" s="137">
        <f>IF(OR(L236="",L236="PENDING"),"",IF(L236="P",0,M236-I236))</f>
        <v/>
      </c>
    </row>
    <row r="237" ht="18" customHeight="1" s="91">
      <c r="A237" s="139">
        <f>IF(C237="","",ROW()-7)</f>
        <v/>
      </c>
      <c r="B237" s="140" t="n"/>
      <c r="C237" s="140" t="n"/>
      <c r="D237" s="141" t="n"/>
      <c r="E237" s="141" t="n"/>
      <c r="F237" s="140" t="n"/>
      <c r="G237" s="142" t="n"/>
      <c r="H237" s="140" t="n"/>
      <c r="I237" s="143" t="n"/>
      <c r="J237" s="144" t="n"/>
      <c r="K237" s="140" t="n"/>
      <c r="L237" s="140" t="n"/>
      <c r="M237" s="145">
        <f>IF(OR(L237="",L237="PENDING"),"",IF(L237="P",I237,IF(L237="L",0,IF(G237&lt;0,I237+I237*100/ABS(G237),I237+I237*G237/100))))</f>
        <v/>
      </c>
      <c r="N237" s="146">
        <f>IF(OR(L237="",L237="PENDING"),"",IF(L237="P",0,IF(L237="L",-J237,IF(G237&lt;0,J237*100/ABS(G237),J237*G237/100))))</f>
        <v/>
      </c>
      <c r="O237" s="145">
        <f>IF(OR(L237="",L237="PENDING"),"",IF(L237="P",0,M237-I237))</f>
        <v/>
      </c>
    </row>
    <row r="238" ht="18" customHeight="1" s="91">
      <c r="A238" s="131">
        <f>IF(C238="","",ROW()-7)</f>
        <v/>
      </c>
      <c r="B238" s="132" t="n"/>
      <c r="C238" s="132" t="n"/>
      <c r="D238" s="133" t="n"/>
      <c r="E238" s="133" t="n"/>
      <c r="F238" s="132" t="n"/>
      <c r="G238" s="134" t="n"/>
      <c r="H238" s="132" t="n"/>
      <c r="I238" s="135" t="n"/>
      <c r="J238" s="136" t="n"/>
      <c r="K238" s="132" t="n"/>
      <c r="L238" s="132" t="n"/>
      <c r="M238" s="137">
        <f>IF(OR(L238="",L238="PENDING"),"",IF(L238="P",I238,IF(L238="L",0,IF(G238&lt;0,I238+I238*100/ABS(G238),I238+I238*G238/100))))</f>
        <v/>
      </c>
      <c r="N238" s="138">
        <f>IF(OR(L238="",L238="PENDING"),"",IF(L238="P",0,IF(L238="L",-J238,IF(G238&lt;0,J238*100/ABS(G238),J238*G238/100))))</f>
        <v/>
      </c>
      <c r="O238" s="137">
        <f>IF(OR(L238="",L238="PENDING"),"",IF(L238="P",0,M238-I238))</f>
        <v/>
      </c>
    </row>
    <row r="239" ht="18" customHeight="1" s="91">
      <c r="A239" s="139">
        <f>IF(C239="","",ROW()-7)</f>
        <v/>
      </c>
      <c r="B239" s="140" t="n"/>
      <c r="C239" s="140" t="n"/>
      <c r="D239" s="141" t="n"/>
      <c r="E239" s="141" t="n"/>
      <c r="F239" s="140" t="n"/>
      <c r="G239" s="142" t="n"/>
      <c r="H239" s="140" t="n"/>
      <c r="I239" s="143" t="n"/>
      <c r="J239" s="144" t="n"/>
      <c r="K239" s="140" t="n"/>
      <c r="L239" s="140" t="n"/>
      <c r="M239" s="145">
        <f>IF(OR(L239="",L239="PENDING"),"",IF(L239="P",I239,IF(L239="L",0,IF(G239&lt;0,I239+I239*100/ABS(G239),I239+I239*G239/100))))</f>
        <v/>
      </c>
      <c r="N239" s="146">
        <f>IF(OR(L239="",L239="PENDING"),"",IF(L239="P",0,IF(L239="L",-J239,IF(G239&lt;0,J239*100/ABS(G239),J239*G239/100))))</f>
        <v/>
      </c>
      <c r="O239" s="145">
        <f>IF(OR(L239="",L239="PENDING"),"",IF(L239="P",0,M239-I239))</f>
        <v/>
      </c>
    </row>
    <row r="240" ht="18" customHeight="1" s="91">
      <c r="A240" s="131">
        <f>IF(C240="","",ROW()-7)</f>
        <v/>
      </c>
      <c r="B240" s="132" t="n"/>
      <c r="C240" s="132" t="n"/>
      <c r="D240" s="133" t="n"/>
      <c r="E240" s="133" t="n"/>
      <c r="F240" s="132" t="n"/>
      <c r="G240" s="134" t="n"/>
      <c r="H240" s="132" t="n"/>
      <c r="I240" s="135" t="n"/>
      <c r="J240" s="136" t="n"/>
      <c r="K240" s="132" t="n"/>
      <c r="L240" s="132" t="n"/>
      <c r="M240" s="137">
        <f>IF(OR(L240="",L240="PENDING"),"",IF(L240="P",I240,IF(L240="L",0,IF(G240&lt;0,I240+I240*100/ABS(G240),I240+I240*G240/100))))</f>
        <v/>
      </c>
      <c r="N240" s="138">
        <f>IF(OR(L240="",L240="PENDING"),"",IF(L240="P",0,IF(L240="L",-J240,IF(G240&lt;0,J240*100/ABS(G240),J240*G240/100))))</f>
        <v/>
      </c>
      <c r="O240" s="137">
        <f>IF(OR(L240="",L240="PENDING"),"",IF(L240="P",0,M240-I240))</f>
        <v/>
      </c>
    </row>
    <row r="241" ht="18" customHeight="1" s="91">
      <c r="A241" s="139">
        <f>IF(C241="","",ROW()-7)</f>
        <v/>
      </c>
      <c r="B241" s="140" t="n"/>
      <c r="C241" s="140" t="n"/>
      <c r="D241" s="141" t="n"/>
      <c r="E241" s="141" t="n"/>
      <c r="F241" s="140" t="n"/>
      <c r="G241" s="142" t="n"/>
      <c r="H241" s="140" t="n"/>
      <c r="I241" s="143" t="n"/>
      <c r="J241" s="144" t="n"/>
      <c r="K241" s="140" t="n"/>
      <c r="L241" s="140" t="n"/>
      <c r="M241" s="145">
        <f>IF(OR(L241="",L241="PENDING"),"",IF(L241="P",I241,IF(L241="L",0,IF(G241&lt;0,I241+I241*100/ABS(G241),I241+I241*G241/100))))</f>
        <v/>
      </c>
      <c r="N241" s="146">
        <f>IF(OR(L241="",L241="PENDING"),"",IF(L241="P",0,IF(L241="L",-J241,IF(G241&lt;0,J241*100/ABS(G241),J241*G241/100))))</f>
        <v/>
      </c>
      <c r="O241" s="145">
        <f>IF(OR(L241="",L241="PENDING"),"",IF(L241="P",0,M241-I241))</f>
        <v/>
      </c>
    </row>
    <row r="242" ht="18" customHeight="1" s="91">
      <c r="A242" s="131">
        <f>IF(C242="","",ROW()-7)</f>
        <v/>
      </c>
      <c r="B242" s="132" t="n"/>
      <c r="C242" s="132" t="n"/>
      <c r="D242" s="133" t="n"/>
      <c r="E242" s="133" t="n"/>
      <c r="F242" s="132" t="n"/>
      <c r="G242" s="134" t="n"/>
      <c r="H242" s="132" t="n"/>
      <c r="I242" s="135" t="n"/>
      <c r="J242" s="136" t="n"/>
      <c r="K242" s="132" t="n"/>
      <c r="L242" s="132" t="n"/>
      <c r="M242" s="137">
        <f>IF(OR(L242="",L242="PENDING"),"",IF(L242="P",I242,IF(L242="L",0,IF(G242&lt;0,I242+I242*100/ABS(G242),I242+I242*G242/100))))</f>
        <v/>
      </c>
      <c r="N242" s="138">
        <f>IF(OR(L242="",L242="PENDING"),"",IF(L242="P",0,IF(L242="L",-J242,IF(G242&lt;0,J242*100/ABS(G242),J242*G242/100))))</f>
        <v/>
      </c>
      <c r="O242" s="137">
        <f>IF(OR(L242="",L242="PENDING"),"",IF(L242="P",0,M242-I242))</f>
        <v/>
      </c>
    </row>
    <row r="243" ht="18" customHeight="1" s="91">
      <c r="A243" s="139">
        <f>IF(C243="","",ROW()-7)</f>
        <v/>
      </c>
      <c r="B243" s="140" t="n"/>
      <c r="C243" s="140" t="n"/>
      <c r="D243" s="141" t="n"/>
      <c r="E243" s="141" t="n"/>
      <c r="F243" s="140" t="n"/>
      <c r="G243" s="142" t="n"/>
      <c r="H243" s="140" t="n"/>
      <c r="I243" s="143" t="n"/>
      <c r="J243" s="144" t="n"/>
      <c r="K243" s="140" t="n"/>
      <c r="L243" s="140" t="n"/>
      <c r="M243" s="145">
        <f>IF(OR(L243="",L243="PENDING"),"",IF(L243="P",I243,IF(L243="L",0,IF(G243&lt;0,I243+I243*100/ABS(G243),I243+I243*G243/100))))</f>
        <v/>
      </c>
      <c r="N243" s="146">
        <f>IF(OR(L243="",L243="PENDING"),"",IF(L243="P",0,IF(L243="L",-J243,IF(G243&lt;0,J243*100/ABS(G243),J243*G243/100))))</f>
        <v/>
      </c>
      <c r="O243" s="145">
        <f>IF(OR(L243="",L243="PENDING"),"",IF(L243="P",0,M243-I243))</f>
        <v/>
      </c>
    </row>
    <row r="244" ht="18" customHeight="1" s="91">
      <c r="A244" s="131">
        <f>IF(C244="","",ROW()-7)</f>
        <v/>
      </c>
      <c r="B244" s="132" t="n"/>
      <c r="C244" s="132" t="n"/>
      <c r="D244" s="133" t="n"/>
      <c r="E244" s="133" t="n"/>
      <c r="F244" s="132" t="n"/>
      <c r="G244" s="134" t="n"/>
      <c r="H244" s="132" t="n"/>
      <c r="I244" s="135" t="n"/>
      <c r="J244" s="136" t="n"/>
      <c r="K244" s="132" t="n"/>
      <c r="L244" s="132" t="n"/>
      <c r="M244" s="137">
        <f>IF(OR(L244="",L244="PENDING"),"",IF(L244="P",I244,IF(L244="L",0,IF(G244&lt;0,I244+I244*100/ABS(G244),I244+I244*G244/100))))</f>
        <v/>
      </c>
      <c r="N244" s="138">
        <f>IF(OR(L244="",L244="PENDING"),"",IF(L244="P",0,IF(L244="L",-J244,IF(G244&lt;0,J244*100/ABS(G244),J244*G244/100))))</f>
        <v/>
      </c>
      <c r="O244" s="137">
        <f>IF(OR(L244="",L244="PENDING"),"",IF(L244="P",0,M244-I244))</f>
        <v/>
      </c>
    </row>
    <row r="245" ht="18" customHeight="1" s="91">
      <c r="A245" s="139">
        <f>IF(C245="","",ROW()-7)</f>
        <v/>
      </c>
      <c r="B245" s="140" t="n"/>
      <c r="C245" s="140" t="n"/>
      <c r="D245" s="141" t="n"/>
      <c r="E245" s="141" t="n"/>
      <c r="F245" s="140" t="n"/>
      <c r="G245" s="142" t="n"/>
      <c r="H245" s="140" t="n"/>
      <c r="I245" s="143" t="n"/>
      <c r="J245" s="144" t="n"/>
      <c r="K245" s="140" t="n"/>
      <c r="L245" s="140" t="n"/>
      <c r="M245" s="145">
        <f>IF(OR(L245="",L245="PENDING"),"",IF(L245="P",I245,IF(L245="L",0,IF(G245&lt;0,I245+I245*100/ABS(G245),I245+I245*G245/100))))</f>
        <v/>
      </c>
      <c r="N245" s="146">
        <f>IF(OR(L245="",L245="PENDING"),"",IF(L245="P",0,IF(L245="L",-J245,IF(G245&lt;0,J245*100/ABS(G245),J245*G245/100))))</f>
        <v/>
      </c>
      <c r="O245" s="145">
        <f>IF(OR(L245="",L245="PENDING"),"",IF(L245="P",0,M245-I245))</f>
        <v/>
      </c>
    </row>
    <row r="246" ht="18" customHeight="1" s="91">
      <c r="A246" s="131">
        <f>IF(C246="","",ROW()-7)</f>
        <v/>
      </c>
      <c r="B246" s="132" t="n"/>
      <c r="C246" s="132" t="n"/>
      <c r="D246" s="133" t="n"/>
      <c r="E246" s="133" t="n"/>
      <c r="F246" s="132" t="n"/>
      <c r="G246" s="134" t="n"/>
      <c r="H246" s="132" t="n"/>
      <c r="I246" s="135" t="n"/>
      <c r="J246" s="136" t="n"/>
      <c r="K246" s="132" t="n"/>
      <c r="L246" s="132" t="n"/>
      <c r="M246" s="137">
        <f>IF(OR(L246="",L246="PENDING"),"",IF(L246="P",I246,IF(L246="L",0,IF(G246&lt;0,I246+I246*100/ABS(G246),I246+I246*G246/100))))</f>
        <v/>
      </c>
      <c r="N246" s="138">
        <f>IF(OR(L246="",L246="PENDING"),"",IF(L246="P",0,IF(L246="L",-J246,IF(G246&lt;0,J246*100/ABS(G246),J246*G246/100))))</f>
        <v/>
      </c>
      <c r="O246" s="137">
        <f>IF(OR(L246="",L246="PENDING"),"",IF(L246="P",0,M246-I246))</f>
        <v/>
      </c>
    </row>
    <row r="247" ht="18" customHeight="1" s="91">
      <c r="A247" s="139">
        <f>IF(C247="","",ROW()-7)</f>
        <v/>
      </c>
      <c r="B247" s="140" t="n"/>
      <c r="C247" s="140" t="n"/>
      <c r="D247" s="141" t="n"/>
      <c r="E247" s="141" t="n"/>
      <c r="F247" s="140" t="n"/>
      <c r="G247" s="142" t="n"/>
      <c r="H247" s="140" t="n"/>
      <c r="I247" s="143" t="n"/>
      <c r="J247" s="144" t="n"/>
      <c r="K247" s="140" t="n"/>
      <c r="L247" s="140" t="n"/>
      <c r="M247" s="145">
        <f>IF(OR(L247="",L247="PENDING"),"",IF(L247="P",I247,IF(L247="L",0,IF(G247&lt;0,I247+I247*100/ABS(G247),I247+I247*G247/100))))</f>
        <v/>
      </c>
      <c r="N247" s="146">
        <f>IF(OR(L247="",L247="PENDING"),"",IF(L247="P",0,IF(L247="L",-J247,IF(G247&lt;0,J247*100/ABS(G247),J247*G247/100))))</f>
        <v/>
      </c>
      <c r="O247" s="145">
        <f>IF(OR(L247="",L247="PENDING"),"",IF(L247="P",0,M247-I247))</f>
        <v/>
      </c>
    </row>
    <row r="248" ht="18" customHeight="1" s="91">
      <c r="A248" s="131">
        <f>IF(C248="","",ROW()-7)</f>
        <v/>
      </c>
      <c r="B248" s="132" t="n"/>
      <c r="C248" s="132" t="n"/>
      <c r="D248" s="133" t="n"/>
      <c r="E248" s="133" t="n"/>
      <c r="F248" s="132" t="n"/>
      <c r="G248" s="134" t="n"/>
      <c r="H248" s="132" t="n"/>
      <c r="I248" s="135" t="n"/>
      <c r="J248" s="136" t="n"/>
      <c r="K248" s="132" t="n"/>
      <c r="L248" s="132" t="n"/>
      <c r="M248" s="137">
        <f>IF(OR(L248="",L248="PENDING"),"",IF(L248="P",I248,IF(L248="L",0,IF(G248&lt;0,I248+I248*100/ABS(G248),I248+I248*G248/100))))</f>
        <v/>
      </c>
      <c r="N248" s="138">
        <f>IF(OR(L248="",L248="PENDING"),"",IF(L248="P",0,IF(L248="L",-J248,IF(G248&lt;0,J248*100/ABS(G248),J248*G248/100))))</f>
        <v/>
      </c>
      <c r="O248" s="137">
        <f>IF(OR(L248="",L248="PENDING"),"",IF(L248="P",0,M248-I248))</f>
        <v/>
      </c>
    </row>
    <row r="249" ht="18" customHeight="1" s="91">
      <c r="A249" s="139">
        <f>IF(C249="","",ROW()-7)</f>
        <v/>
      </c>
      <c r="B249" s="140" t="n"/>
      <c r="C249" s="140" t="n"/>
      <c r="D249" s="141" t="n"/>
      <c r="E249" s="141" t="n"/>
      <c r="F249" s="140" t="n"/>
      <c r="G249" s="142" t="n"/>
      <c r="H249" s="140" t="n"/>
      <c r="I249" s="143" t="n"/>
      <c r="J249" s="144" t="n"/>
      <c r="K249" s="140" t="n"/>
      <c r="L249" s="140" t="n"/>
      <c r="M249" s="145">
        <f>IF(OR(L249="",L249="PENDING"),"",IF(L249="P",I249,IF(L249="L",0,IF(G249&lt;0,I249+I249*100/ABS(G249),I249+I249*G249/100))))</f>
        <v/>
      </c>
      <c r="N249" s="146">
        <f>IF(OR(L249="",L249="PENDING"),"",IF(L249="P",0,IF(L249="L",-J249,IF(G249&lt;0,J249*100/ABS(G249),J249*G249/100))))</f>
        <v/>
      </c>
      <c r="O249" s="145">
        <f>IF(OR(L249="",L249="PENDING"),"",IF(L249="P",0,M249-I249))</f>
        <v/>
      </c>
    </row>
    <row r="250" ht="18" customHeight="1" s="91">
      <c r="A250" s="131">
        <f>IF(C250="","",ROW()-7)</f>
        <v/>
      </c>
      <c r="B250" s="132" t="n"/>
      <c r="C250" s="132" t="n"/>
      <c r="D250" s="133" t="n"/>
      <c r="E250" s="133" t="n"/>
      <c r="F250" s="132" t="n"/>
      <c r="G250" s="134" t="n"/>
      <c r="H250" s="132" t="n"/>
      <c r="I250" s="135" t="n"/>
      <c r="J250" s="136" t="n"/>
      <c r="K250" s="132" t="n"/>
      <c r="L250" s="132" t="n"/>
      <c r="M250" s="137">
        <f>IF(OR(L250="",L250="PENDING"),"",IF(L250="P",I250,IF(L250="L",0,IF(G250&lt;0,I250+I250*100/ABS(G250),I250+I250*G250/100))))</f>
        <v/>
      </c>
      <c r="N250" s="138">
        <f>IF(OR(L250="",L250="PENDING"),"",IF(L250="P",0,IF(L250="L",-J250,IF(G250&lt;0,J250*100/ABS(G250),J250*G250/100))))</f>
        <v/>
      </c>
      <c r="O250" s="137">
        <f>IF(OR(L250="",L250="PENDING"),"",IF(L250="P",0,M250-I250))</f>
        <v/>
      </c>
    </row>
    <row r="251" ht="18" customHeight="1" s="91">
      <c r="A251" s="139">
        <f>IF(C251="","",ROW()-7)</f>
        <v/>
      </c>
      <c r="B251" s="140" t="n"/>
      <c r="C251" s="140" t="n"/>
      <c r="D251" s="141" t="n"/>
      <c r="E251" s="141" t="n"/>
      <c r="F251" s="140" t="n"/>
      <c r="G251" s="142" t="n"/>
      <c r="H251" s="140" t="n"/>
      <c r="I251" s="143" t="n"/>
      <c r="J251" s="144" t="n"/>
      <c r="K251" s="140" t="n"/>
      <c r="L251" s="140" t="n"/>
      <c r="M251" s="145">
        <f>IF(OR(L251="",L251="PENDING"),"",IF(L251="P",I251,IF(L251="L",0,IF(G251&lt;0,I251+I251*100/ABS(G251),I251+I251*G251/100))))</f>
        <v/>
      </c>
      <c r="N251" s="146">
        <f>IF(OR(L251="",L251="PENDING"),"",IF(L251="P",0,IF(L251="L",-J251,IF(G251&lt;0,J251*100/ABS(G251),J251*G251/100))))</f>
        <v/>
      </c>
      <c r="O251" s="145">
        <f>IF(OR(L251="",L251="PENDING"),"",IF(L251="P",0,M251-I251))</f>
        <v/>
      </c>
    </row>
    <row r="252" ht="18" customHeight="1" s="91">
      <c r="A252" s="131">
        <f>IF(C252="","",ROW()-7)</f>
        <v/>
      </c>
      <c r="B252" s="132" t="n"/>
      <c r="C252" s="132" t="n"/>
      <c r="D252" s="133" t="n"/>
      <c r="E252" s="133" t="n"/>
      <c r="F252" s="132" t="n"/>
      <c r="G252" s="134" t="n"/>
      <c r="H252" s="132" t="n"/>
      <c r="I252" s="135" t="n"/>
      <c r="J252" s="136" t="n"/>
      <c r="K252" s="132" t="n"/>
      <c r="L252" s="132" t="n"/>
      <c r="M252" s="137">
        <f>IF(OR(L252="",L252="PENDING"),"",IF(L252="P",I252,IF(L252="L",0,IF(G252&lt;0,I252+I252*100/ABS(G252),I252+I252*G252/100))))</f>
        <v/>
      </c>
      <c r="N252" s="138">
        <f>IF(OR(L252="",L252="PENDING"),"",IF(L252="P",0,IF(L252="L",-J252,IF(G252&lt;0,J252*100/ABS(G252),J252*G252/100))))</f>
        <v/>
      </c>
      <c r="O252" s="137">
        <f>IF(OR(L252="",L252="PENDING"),"",IF(L252="P",0,M252-I252))</f>
        <v/>
      </c>
    </row>
    <row r="253" ht="18" customHeight="1" s="91">
      <c r="A253" s="139">
        <f>IF(C253="","",ROW()-7)</f>
        <v/>
      </c>
      <c r="B253" s="140" t="n"/>
      <c r="C253" s="140" t="n"/>
      <c r="D253" s="141" t="n"/>
      <c r="E253" s="141" t="n"/>
      <c r="F253" s="140" t="n"/>
      <c r="G253" s="142" t="n"/>
      <c r="H253" s="140" t="n"/>
      <c r="I253" s="143" t="n"/>
      <c r="J253" s="144" t="n"/>
      <c r="K253" s="140" t="n"/>
      <c r="L253" s="140" t="n"/>
      <c r="M253" s="145">
        <f>IF(OR(L253="",L253="PENDING"),"",IF(L253="P",I253,IF(L253="L",0,IF(G253&lt;0,I253+I253*100/ABS(G253),I253+I253*G253/100))))</f>
        <v/>
      </c>
      <c r="N253" s="146">
        <f>IF(OR(L253="",L253="PENDING"),"",IF(L253="P",0,IF(L253="L",-J253,IF(G253&lt;0,J253*100/ABS(G253),J253*G253/100))))</f>
        <v/>
      </c>
      <c r="O253" s="145">
        <f>IF(OR(L253="",L253="PENDING"),"",IF(L253="P",0,M253-I253))</f>
        <v/>
      </c>
    </row>
    <row r="254" ht="18" customHeight="1" s="91">
      <c r="A254" s="131">
        <f>IF(C254="","",ROW()-7)</f>
        <v/>
      </c>
      <c r="B254" s="132" t="n"/>
      <c r="C254" s="132" t="n"/>
      <c r="D254" s="133" t="n"/>
      <c r="E254" s="133" t="n"/>
      <c r="F254" s="132" t="n"/>
      <c r="G254" s="134" t="n"/>
      <c r="H254" s="132" t="n"/>
      <c r="I254" s="135" t="n"/>
      <c r="J254" s="136" t="n"/>
      <c r="K254" s="132" t="n"/>
      <c r="L254" s="132" t="n"/>
      <c r="M254" s="137">
        <f>IF(OR(L254="",L254="PENDING"),"",IF(L254="P",I254,IF(L254="L",0,IF(G254&lt;0,I254+I254*100/ABS(G254),I254+I254*G254/100))))</f>
        <v/>
      </c>
      <c r="N254" s="138">
        <f>IF(OR(L254="",L254="PENDING"),"",IF(L254="P",0,IF(L254="L",-J254,IF(G254&lt;0,J254*100/ABS(G254),J254*G254/100))))</f>
        <v/>
      </c>
      <c r="O254" s="137">
        <f>IF(OR(L254="",L254="PENDING"),"",IF(L254="P",0,M254-I254))</f>
        <v/>
      </c>
    </row>
    <row r="255" ht="18" customHeight="1" s="91">
      <c r="A255" s="139">
        <f>IF(C255="","",ROW()-7)</f>
        <v/>
      </c>
      <c r="B255" s="140" t="n"/>
      <c r="C255" s="140" t="n"/>
      <c r="D255" s="141" t="n"/>
      <c r="E255" s="141" t="n"/>
      <c r="F255" s="140" t="n"/>
      <c r="G255" s="142" t="n"/>
      <c r="H255" s="140" t="n"/>
      <c r="I255" s="143" t="n"/>
      <c r="J255" s="144" t="n"/>
      <c r="K255" s="140" t="n"/>
      <c r="L255" s="140" t="n"/>
      <c r="M255" s="145">
        <f>IF(OR(L255="",L255="PENDING"),"",IF(L255="P",I255,IF(L255="L",0,IF(G255&lt;0,I255+I255*100/ABS(G255),I255+I255*G255/100))))</f>
        <v/>
      </c>
      <c r="N255" s="146">
        <f>IF(OR(L255="",L255="PENDING"),"",IF(L255="P",0,IF(L255="L",-J255,IF(G255&lt;0,J255*100/ABS(G255),J255*G255/100))))</f>
        <v/>
      </c>
      <c r="O255" s="145">
        <f>IF(OR(L255="",L255="PENDING"),"",IF(L255="P",0,M255-I255))</f>
        <v/>
      </c>
    </row>
    <row r="256" ht="18" customHeight="1" s="91">
      <c r="A256" s="131">
        <f>IF(C256="","",ROW()-7)</f>
        <v/>
      </c>
      <c r="B256" s="132" t="n"/>
      <c r="C256" s="132" t="n"/>
      <c r="D256" s="133" t="n"/>
      <c r="E256" s="133" t="n"/>
      <c r="F256" s="132" t="n"/>
      <c r="G256" s="134" t="n"/>
      <c r="H256" s="132" t="n"/>
      <c r="I256" s="135" t="n"/>
      <c r="J256" s="136" t="n"/>
      <c r="K256" s="132" t="n"/>
      <c r="L256" s="132" t="n"/>
      <c r="M256" s="137">
        <f>IF(OR(L256="",L256="PENDING"),"",IF(L256="P",I256,IF(L256="L",0,IF(G256&lt;0,I256+I256*100/ABS(G256),I256+I256*G256/100))))</f>
        <v/>
      </c>
      <c r="N256" s="138">
        <f>IF(OR(L256="",L256="PENDING"),"",IF(L256="P",0,IF(L256="L",-J256,IF(G256&lt;0,J256*100/ABS(G256),J256*G256/100))))</f>
        <v/>
      </c>
      <c r="O256" s="137">
        <f>IF(OR(L256="",L256="PENDING"),"",IF(L256="P",0,M256-I256))</f>
        <v/>
      </c>
    </row>
    <row r="257" ht="18" customHeight="1" s="91">
      <c r="A257" s="139">
        <f>IF(C257="","",ROW()-7)</f>
        <v/>
      </c>
      <c r="B257" s="140" t="n"/>
      <c r="C257" s="140" t="n"/>
      <c r="D257" s="141" t="n"/>
      <c r="E257" s="141" t="n"/>
      <c r="F257" s="140" t="n"/>
      <c r="G257" s="142" t="n"/>
      <c r="H257" s="140" t="n"/>
      <c r="I257" s="143" t="n"/>
      <c r="J257" s="144" t="n"/>
      <c r="K257" s="140" t="n"/>
      <c r="L257" s="140" t="n"/>
      <c r="M257" s="145">
        <f>IF(OR(L257="",L257="PENDING"),"",IF(L257="P",I257,IF(L257="L",0,IF(G257&lt;0,I257+I257*100/ABS(G257),I257+I257*G257/100))))</f>
        <v/>
      </c>
      <c r="N257" s="146">
        <f>IF(OR(L257="",L257="PENDING"),"",IF(L257="P",0,IF(L257="L",-J257,IF(G257&lt;0,J257*100/ABS(G257),J257*G257/100))))</f>
        <v/>
      </c>
      <c r="O257" s="145">
        <f>IF(OR(L257="",L257="PENDING"),"",IF(L257="P",0,M257-I257))</f>
        <v/>
      </c>
    </row>
    <row r="258" ht="18" customHeight="1" s="91">
      <c r="A258" s="131">
        <f>IF(C258="","",ROW()-7)</f>
        <v/>
      </c>
      <c r="B258" s="132" t="n"/>
      <c r="C258" s="132" t="n"/>
      <c r="D258" s="133" t="n"/>
      <c r="E258" s="133" t="n"/>
      <c r="F258" s="132" t="n"/>
      <c r="G258" s="134" t="n"/>
      <c r="H258" s="132" t="n"/>
      <c r="I258" s="135" t="n"/>
      <c r="J258" s="136" t="n"/>
      <c r="K258" s="132" t="n"/>
      <c r="L258" s="132" t="n"/>
      <c r="M258" s="137">
        <f>IF(OR(L258="",L258="PENDING"),"",IF(L258="P",I258,IF(L258="L",0,IF(G258&lt;0,I258+I258*100/ABS(G258),I258+I258*G258/100))))</f>
        <v/>
      </c>
      <c r="N258" s="138">
        <f>IF(OR(L258="",L258="PENDING"),"",IF(L258="P",0,IF(L258="L",-J258,IF(G258&lt;0,J258*100/ABS(G258),J258*G258/100))))</f>
        <v/>
      </c>
      <c r="O258" s="137">
        <f>IF(OR(L258="",L258="PENDING"),"",IF(L258="P",0,M258-I258))</f>
        <v/>
      </c>
    </row>
    <row r="259" ht="18" customHeight="1" s="91">
      <c r="A259" s="139">
        <f>IF(C259="","",ROW()-7)</f>
        <v/>
      </c>
      <c r="B259" s="140" t="n"/>
      <c r="C259" s="140" t="n"/>
      <c r="D259" s="141" t="n"/>
      <c r="E259" s="141" t="n"/>
      <c r="F259" s="140" t="n"/>
      <c r="G259" s="142" t="n"/>
      <c r="H259" s="140" t="n"/>
      <c r="I259" s="143" t="n"/>
      <c r="J259" s="144" t="n"/>
      <c r="K259" s="140" t="n"/>
      <c r="L259" s="140" t="n"/>
      <c r="M259" s="145">
        <f>IF(OR(L259="",L259="PENDING"),"",IF(L259="P",I259,IF(L259="L",0,IF(G259&lt;0,I259+I259*100/ABS(G259),I259+I259*G259/100))))</f>
        <v/>
      </c>
      <c r="N259" s="146">
        <f>IF(OR(L259="",L259="PENDING"),"",IF(L259="P",0,IF(L259="L",-J259,IF(G259&lt;0,J259*100/ABS(G259),J259*G259/100))))</f>
        <v/>
      </c>
      <c r="O259" s="145">
        <f>IF(OR(L259="",L259="PENDING"),"",IF(L259="P",0,M259-I259))</f>
        <v/>
      </c>
    </row>
    <row r="260" ht="18" customHeight="1" s="91">
      <c r="A260" s="131">
        <f>IF(C260="","",ROW()-7)</f>
        <v/>
      </c>
      <c r="B260" s="132" t="n"/>
      <c r="C260" s="132" t="n"/>
      <c r="D260" s="133" t="n"/>
      <c r="E260" s="133" t="n"/>
      <c r="F260" s="132" t="n"/>
      <c r="G260" s="134" t="n"/>
      <c r="H260" s="132" t="n"/>
      <c r="I260" s="135" t="n"/>
      <c r="J260" s="136" t="n"/>
      <c r="K260" s="132" t="n"/>
      <c r="L260" s="132" t="n"/>
      <c r="M260" s="137">
        <f>IF(OR(L260="",L260="PENDING"),"",IF(L260="P",I260,IF(L260="L",0,IF(G260&lt;0,I260+I260*100/ABS(G260),I260+I260*G260/100))))</f>
        <v/>
      </c>
      <c r="N260" s="138">
        <f>IF(OR(L260="",L260="PENDING"),"",IF(L260="P",0,IF(L260="L",-J260,IF(G260&lt;0,J260*100/ABS(G260),J260*G260/100))))</f>
        <v/>
      </c>
      <c r="O260" s="137">
        <f>IF(OR(L260="",L260="PENDING"),"",IF(L260="P",0,M260-I260))</f>
        <v/>
      </c>
    </row>
    <row r="261" ht="18" customHeight="1" s="91">
      <c r="A261" s="139">
        <f>IF(C261="","",ROW()-7)</f>
        <v/>
      </c>
      <c r="B261" s="140" t="n"/>
      <c r="C261" s="140" t="n"/>
      <c r="D261" s="141" t="n"/>
      <c r="E261" s="141" t="n"/>
      <c r="F261" s="140" t="n"/>
      <c r="G261" s="142" t="n"/>
      <c r="H261" s="140" t="n"/>
      <c r="I261" s="143" t="n"/>
      <c r="J261" s="144" t="n"/>
      <c r="K261" s="140" t="n"/>
      <c r="L261" s="140" t="n"/>
      <c r="M261" s="145">
        <f>IF(OR(L261="",L261="PENDING"),"",IF(L261="P",I261,IF(L261="L",0,IF(G261&lt;0,I261+I261*100/ABS(G261),I261+I261*G261/100))))</f>
        <v/>
      </c>
      <c r="N261" s="146">
        <f>IF(OR(L261="",L261="PENDING"),"",IF(L261="P",0,IF(L261="L",-J261,IF(G261&lt;0,J261*100/ABS(G261),J261*G261/100))))</f>
        <v/>
      </c>
      <c r="O261" s="145">
        <f>IF(OR(L261="",L261="PENDING"),"",IF(L261="P",0,M261-I261))</f>
        <v/>
      </c>
    </row>
    <row r="262" ht="18" customHeight="1" s="91">
      <c r="A262" s="131">
        <f>IF(C262="","",ROW()-7)</f>
        <v/>
      </c>
      <c r="B262" s="132" t="n"/>
      <c r="C262" s="132" t="n"/>
      <c r="D262" s="133" t="n"/>
      <c r="E262" s="133" t="n"/>
      <c r="F262" s="132" t="n"/>
      <c r="G262" s="134" t="n"/>
      <c r="H262" s="132" t="n"/>
      <c r="I262" s="135" t="n"/>
      <c r="J262" s="136" t="n"/>
      <c r="K262" s="132" t="n"/>
      <c r="L262" s="132" t="n"/>
      <c r="M262" s="137">
        <f>IF(OR(L262="",L262="PENDING"),"",IF(L262="P",I262,IF(L262="L",0,IF(G262&lt;0,I262+I262*100/ABS(G262),I262+I262*G262/100))))</f>
        <v/>
      </c>
      <c r="N262" s="138">
        <f>IF(OR(L262="",L262="PENDING"),"",IF(L262="P",0,IF(L262="L",-J262,IF(G262&lt;0,J262*100/ABS(G262),J262*G262/100))))</f>
        <v/>
      </c>
      <c r="O262" s="137">
        <f>IF(OR(L262="",L262="PENDING"),"",IF(L262="P",0,M262-I262))</f>
        <v/>
      </c>
    </row>
    <row r="263" ht="18" customHeight="1" s="91">
      <c r="A263" s="139">
        <f>IF(C263="","",ROW()-7)</f>
        <v/>
      </c>
      <c r="B263" s="140" t="n"/>
      <c r="C263" s="140" t="n"/>
      <c r="D263" s="141" t="n"/>
      <c r="E263" s="141" t="n"/>
      <c r="F263" s="140" t="n"/>
      <c r="G263" s="142" t="n"/>
      <c r="H263" s="140" t="n"/>
      <c r="I263" s="143" t="n"/>
      <c r="J263" s="144" t="n"/>
      <c r="K263" s="140" t="n"/>
      <c r="L263" s="140" t="n"/>
      <c r="M263" s="145">
        <f>IF(OR(L263="",L263="PENDING"),"",IF(L263="P",I263,IF(L263="L",0,IF(G263&lt;0,I263+I263*100/ABS(G263),I263+I263*G263/100))))</f>
        <v/>
      </c>
      <c r="N263" s="146">
        <f>IF(OR(L263="",L263="PENDING"),"",IF(L263="P",0,IF(L263="L",-J263,IF(G263&lt;0,J263*100/ABS(G263),J263*G263/100))))</f>
        <v/>
      </c>
      <c r="O263" s="145">
        <f>IF(OR(L263="",L263="PENDING"),"",IF(L263="P",0,M263-I263))</f>
        <v/>
      </c>
    </row>
    <row r="264" ht="18" customHeight="1" s="91">
      <c r="A264" s="131">
        <f>IF(C264="","",ROW()-7)</f>
        <v/>
      </c>
      <c r="B264" s="132" t="n"/>
      <c r="C264" s="132" t="n"/>
      <c r="D264" s="133" t="n"/>
      <c r="E264" s="133" t="n"/>
      <c r="F264" s="132" t="n"/>
      <c r="G264" s="134" t="n"/>
      <c r="H264" s="132" t="n"/>
      <c r="I264" s="135" t="n"/>
      <c r="J264" s="136" t="n"/>
      <c r="K264" s="132" t="n"/>
      <c r="L264" s="132" t="n"/>
      <c r="M264" s="137">
        <f>IF(OR(L264="",L264="PENDING"),"",IF(L264="P",I264,IF(L264="L",0,IF(G264&lt;0,I264+I264*100/ABS(G264),I264+I264*G264/100))))</f>
        <v/>
      </c>
      <c r="N264" s="138">
        <f>IF(OR(L264="",L264="PENDING"),"",IF(L264="P",0,IF(L264="L",-J264,IF(G264&lt;0,J264*100/ABS(G264),J264*G264/100))))</f>
        <v/>
      </c>
      <c r="O264" s="137">
        <f>IF(OR(L264="",L264="PENDING"),"",IF(L264="P",0,M264-I264))</f>
        <v/>
      </c>
    </row>
    <row r="265" ht="18" customHeight="1" s="91">
      <c r="A265" s="139">
        <f>IF(C265="","",ROW()-7)</f>
        <v/>
      </c>
      <c r="B265" s="140" t="n"/>
      <c r="C265" s="140" t="n"/>
      <c r="D265" s="141" t="n"/>
      <c r="E265" s="141" t="n"/>
      <c r="F265" s="140" t="n"/>
      <c r="G265" s="142" t="n"/>
      <c r="H265" s="140" t="n"/>
      <c r="I265" s="143" t="n"/>
      <c r="J265" s="144" t="n"/>
      <c r="K265" s="140" t="n"/>
      <c r="L265" s="140" t="n"/>
      <c r="M265" s="145">
        <f>IF(OR(L265="",L265="PENDING"),"",IF(L265="P",I265,IF(L265="L",0,IF(G265&lt;0,I265+I265*100/ABS(G265),I265+I265*G265/100))))</f>
        <v/>
      </c>
      <c r="N265" s="146">
        <f>IF(OR(L265="",L265="PENDING"),"",IF(L265="P",0,IF(L265="L",-J265,IF(G265&lt;0,J265*100/ABS(G265),J265*G265/100))))</f>
        <v/>
      </c>
      <c r="O265" s="145">
        <f>IF(OR(L265="",L265="PENDING"),"",IF(L265="P",0,M265-I265))</f>
        <v/>
      </c>
    </row>
    <row r="266" ht="18" customHeight="1" s="91">
      <c r="A266" s="131">
        <f>IF(C266="","",ROW()-7)</f>
        <v/>
      </c>
      <c r="B266" s="132" t="n"/>
      <c r="C266" s="132" t="n"/>
      <c r="D266" s="133" t="n"/>
      <c r="E266" s="133" t="n"/>
      <c r="F266" s="132" t="n"/>
      <c r="G266" s="134" t="n"/>
      <c r="H266" s="132" t="n"/>
      <c r="I266" s="135" t="n"/>
      <c r="J266" s="136" t="n"/>
      <c r="K266" s="132" t="n"/>
      <c r="L266" s="132" t="n"/>
      <c r="M266" s="137">
        <f>IF(OR(L266="",L266="PENDING"),"",IF(L266="P",I266,IF(L266="L",0,IF(G266&lt;0,I266+I266*100/ABS(G266),I266+I266*G266/100))))</f>
        <v/>
      </c>
      <c r="N266" s="138">
        <f>IF(OR(L266="",L266="PENDING"),"",IF(L266="P",0,IF(L266="L",-J266,IF(G266&lt;0,J266*100/ABS(G266),J266*G266/100))))</f>
        <v/>
      </c>
      <c r="O266" s="137">
        <f>IF(OR(L266="",L266="PENDING"),"",IF(L266="P",0,M266-I266))</f>
        <v/>
      </c>
    </row>
    <row r="267" ht="18" customHeight="1" s="91">
      <c r="A267" s="139">
        <f>IF(C267="","",ROW()-7)</f>
        <v/>
      </c>
      <c r="B267" s="140" t="n"/>
      <c r="C267" s="140" t="n"/>
      <c r="D267" s="141" t="n"/>
      <c r="E267" s="141" t="n"/>
      <c r="F267" s="140" t="n"/>
      <c r="G267" s="142" t="n"/>
      <c r="H267" s="140" t="n"/>
      <c r="I267" s="143" t="n"/>
      <c r="J267" s="144" t="n"/>
      <c r="K267" s="140" t="n"/>
      <c r="L267" s="140" t="n"/>
      <c r="M267" s="145">
        <f>IF(OR(L267="",L267="PENDING"),"",IF(L267="P",I267,IF(L267="L",0,IF(G267&lt;0,I267+I267*100/ABS(G267),I267+I267*G267/100))))</f>
        <v/>
      </c>
      <c r="N267" s="146">
        <f>IF(OR(L267="",L267="PENDING"),"",IF(L267="P",0,IF(L267="L",-J267,IF(G267&lt;0,J267*100/ABS(G267),J267*G267/100))))</f>
        <v/>
      </c>
      <c r="O267" s="145">
        <f>IF(OR(L267="",L267="PENDING"),"",IF(L267="P",0,M267-I267))</f>
        <v/>
      </c>
    </row>
    <row r="268" ht="18" customHeight="1" s="91">
      <c r="A268" s="131">
        <f>IF(C268="","",ROW()-7)</f>
        <v/>
      </c>
      <c r="B268" s="132" t="n"/>
      <c r="C268" s="132" t="n"/>
      <c r="D268" s="133" t="n"/>
      <c r="E268" s="133" t="n"/>
      <c r="F268" s="132" t="n"/>
      <c r="G268" s="134" t="n"/>
      <c r="H268" s="132" t="n"/>
      <c r="I268" s="135" t="n"/>
      <c r="J268" s="136" t="n"/>
      <c r="K268" s="132" t="n"/>
      <c r="L268" s="132" t="n"/>
      <c r="M268" s="137">
        <f>IF(OR(L268="",L268="PENDING"),"",IF(L268="P",I268,IF(L268="L",0,IF(G268&lt;0,I268+I268*100/ABS(G268),I268+I268*G268/100))))</f>
        <v/>
      </c>
      <c r="N268" s="138">
        <f>IF(OR(L268="",L268="PENDING"),"",IF(L268="P",0,IF(L268="L",-J268,IF(G268&lt;0,J268*100/ABS(G268),J268*G268/100))))</f>
        <v/>
      </c>
      <c r="O268" s="137">
        <f>IF(OR(L268="",L268="PENDING"),"",IF(L268="P",0,M268-I268))</f>
        <v/>
      </c>
    </row>
    <row r="269" ht="18" customHeight="1" s="91">
      <c r="A269" s="139">
        <f>IF(C269="","",ROW()-7)</f>
        <v/>
      </c>
      <c r="B269" s="140" t="n"/>
      <c r="C269" s="140" t="n"/>
      <c r="D269" s="141" t="n"/>
      <c r="E269" s="141" t="n"/>
      <c r="F269" s="140" t="n"/>
      <c r="G269" s="142" t="n"/>
      <c r="H269" s="140" t="n"/>
      <c r="I269" s="143" t="n"/>
      <c r="J269" s="144" t="n"/>
      <c r="K269" s="140" t="n"/>
      <c r="L269" s="140" t="n"/>
      <c r="M269" s="145">
        <f>IF(OR(L269="",L269="PENDING"),"",IF(L269="P",I269,IF(L269="L",0,IF(G269&lt;0,I269+I269*100/ABS(G269),I269+I269*G269/100))))</f>
        <v/>
      </c>
      <c r="N269" s="146">
        <f>IF(OR(L269="",L269="PENDING"),"",IF(L269="P",0,IF(L269="L",-J269,IF(G269&lt;0,J269*100/ABS(G269),J269*G269/100))))</f>
        <v/>
      </c>
      <c r="O269" s="145">
        <f>IF(OR(L269="",L269="PENDING"),"",IF(L269="P",0,M269-I269))</f>
        <v/>
      </c>
    </row>
    <row r="270" ht="18" customHeight="1" s="91">
      <c r="A270" s="131">
        <f>IF(C270="","",ROW()-7)</f>
        <v/>
      </c>
      <c r="B270" s="132" t="n"/>
      <c r="C270" s="132" t="n"/>
      <c r="D270" s="133" t="n"/>
      <c r="E270" s="133" t="n"/>
      <c r="F270" s="132" t="n"/>
      <c r="G270" s="134" t="n"/>
      <c r="H270" s="132" t="n"/>
      <c r="I270" s="135" t="n"/>
      <c r="J270" s="136" t="n"/>
      <c r="K270" s="132" t="n"/>
      <c r="L270" s="132" t="n"/>
      <c r="M270" s="137">
        <f>IF(OR(L270="",L270="PENDING"),"",IF(L270="P",I270,IF(L270="L",0,IF(G270&lt;0,I270+I270*100/ABS(G270),I270+I270*G270/100))))</f>
        <v/>
      </c>
      <c r="N270" s="138">
        <f>IF(OR(L270="",L270="PENDING"),"",IF(L270="P",0,IF(L270="L",-J270,IF(G270&lt;0,J270*100/ABS(G270),J270*G270/100))))</f>
        <v/>
      </c>
      <c r="O270" s="137">
        <f>IF(OR(L270="",L270="PENDING"),"",IF(L270="P",0,M270-I270))</f>
        <v/>
      </c>
    </row>
    <row r="271" ht="18" customHeight="1" s="91">
      <c r="A271" s="139">
        <f>IF(C271="","",ROW()-7)</f>
        <v/>
      </c>
      <c r="B271" s="140" t="n"/>
      <c r="C271" s="140" t="n"/>
      <c r="D271" s="141" t="n"/>
      <c r="E271" s="141" t="n"/>
      <c r="F271" s="140" t="n"/>
      <c r="G271" s="142" t="n"/>
      <c r="H271" s="140" t="n"/>
      <c r="I271" s="143" t="n"/>
      <c r="J271" s="144" t="n"/>
      <c r="K271" s="140" t="n"/>
      <c r="L271" s="140" t="n"/>
      <c r="M271" s="145">
        <f>IF(OR(L271="",L271="PENDING"),"",IF(L271="P",I271,IF(L271="L",0,IF(G271&lt;0,I271+I271*100/ABS(G271),I271+I271*G271/100))))</f>
        <v/>
      </c>
      <c r="N271" s="146">
        <f>IF(OR(L271="",L271="PENDING"),"",IF(L271="P",0,IF(L271="L",-J271,IF(G271&lt;0,J271*100/ABS(G271),J271*G271/100))))</f>
        <v/>
      </c>
      <c r="O271" s="145">
        <f>IF(OR(L271="",L271="PENDING"),"",IF(L271="P",0,M271-I271))</f>
        <v/>
      </c>
    </row>
    <row r="272" ht="18" customHeight="1" s="91">
      <c r="A272" s="131">
        <f>IF(C272="","",ROW()-7)</f>
        <v/>
      </c>
      <c r="B272" s="132" t="n"/>
      <c r="C272" s="132" t="n"/>
      <c r="D272" s="133" t="n"/>
      <c r="E272" s="133" t="n"/>
      <c r="F272" s="132" t="n"/>
      <c r="G272" s="134" t="n"/>
      <c r="H272" s="132" t="n"/>
      <c r="I272" s="135" t="n"/>
      <c r="J272" s="136" t="n"/>
      <c r="K272" s="132" t="n"/>
      <c r="L272" s="132" t="n"/>
      <c r="M272" s="137">
        <f>IF(OR(L272="",L272="PENDING"),"",IF(L272="P",I272,IF(L272="L",0,IF(G272&lt;0,I272+I272*100/ABS(G272),I272+I272*G272/100))))</f>
        <v/>
      </c>
      <c r="N272" s="138">
        <f>IF(OR(L272="",L272="PENDING"),"",IF(L272="P",0,IF(L272="L",-J272,IF(G272&lt;0,J272*100/ABS(G272),J272*G272/100))))</f>
        <v/>
      </c>
      <c r="O272" s="137">
        <f>IF(OR(L272="",L272="PENDING"),"",IF(L272="P",0,M272-I272))</f>
        <v/>
      </c>
    </row>
    <row r="273" ht="18" customHeight="1" s="91">
      <c r="A273" s="139">
        <f>IF(C273="","",ROW()-7)</f>
        <v/>
      </c>
      <c r="B273" s="140" t="n"/>
      <c r="C273" s="140" t="n"/>
      <c r="D273" s="141" t="n"/>
      <c r="E273" s="141" t="n"/>
      <c r="F273" s="140" t="n"/>
      <c r="G273" s="142" t="n"/>
      <c r="H273" s="140" t="n"/>
      <c r="I273" s="143" t="n"/>
      <c r="J273" s="144" t="n"/>
      <c r="K273" s="140" t="n"/>
      <c r="L273" s="140" t="n"/>
      <c r="M273" s="145">
        <f>IF(OR(L273="",L273="PENDING"),"",IF(L273="P",I273,IF(L273="L",0,IF(G273&lt;0,I273+I273*100/ABS(G273),I273+I273*G273/100))))</f>
        <v/>
      </c>
      <c r="N273" s="146">
        <f>IF(OR(L273="",L273="PENDING"),"",IF(L273="P",0,IF(L273="L",-J273,IF(G273&lt;0,J273*100/ABS(G273),J273*G273/100))))</f>
        <v/>
      </c>
      <c r="O273" s="145">
        <f>IF(OR(L273="",L273="PENDING"),"",IF(L273="P",0,M273-I273))</f>
        <v/>
      </c>
    </row>
    <row r="274" ht="18" customHeight="1" s="91">
      <c r="A274" s="131">
        <f>IF(C274="","",ROW()-7)</f>
        <v/>
      </c>
      <c r="B274" s="132" t="n"/>
      <c r="C274" s="132" t="n"/>
      <c r="D274" s="133" t="n"/>
      <c r="E274" s="133" t="n"/>
      <c r="F274" s="132" t="n"/>
      <c r="G274" s="134" t="n"/>
      <c r="H274" s="132" t="n"/>
      <c r="I274" s="135" t="n"/>
      <c r="J274" s="136" t="n"/>
      <c r="K274" s="132" t="n"/>
      <c r="L274" s="132" t="n"/>
      <c r="M274" s="137">
        <f>IF(OR(L274="",L274="PENDING"),"",IF(L274="P",I274,IF(L274="L",0,IF(G274&lt;0,I274+I274*100/ABS(G274),I274+I274*G274/100))))</f>
        <v/>
      </c>
      <c r="N274" s="138">
        <f>IF(OR(L274="",L274="PENDING"),"",IF(L274="P",0,IF(L274="L",-J274,IF(G274&lt;0,J274*100/ABS(G274),J274*G274/100))))</f>
        <v/>
      </c>
      <c r="O274" s="137">
        <f>IF(OR(L274="",L274="PENDING"),"",IF(L274="P",0,M274-I274))</f>
        <v/>
      </c>
    </row>
    <row r="275" ht="18" customHeight="1" s="91">
      <c r="A275" s="139">
        <f>IF(C275="","",ROW()-7)</f>
        <v/>
      </c>
      <c r="B275" s="140" t="n"/>
      <c r="C275" s="140" t="n"/>
      <c r="D275" s="141" t="n"/>
      <c r="E275" s="141" t="n"/>
      <c r="F275" s="140" t="n"/>
      <c r="G275" s="142" t="n"/>
      <c r="H275" s="140" t="n"/>
      <c r="I275" s="143" t="n"/>
      <c r="J275" s="144" t="n"/>
      <c r="K275" s="140" t="n"/>
      <c r="L275" s="140" t="n"/>
      <c r="M275" s="145">
        <f>IF(OR(L275="",L275="PENDING"),"",IF(L275="P",I275,IF(L275="L",0,IF(G275&lt;0,I275+I275*100/ABS(G275),I275+I275*G275/100))))</f>
        <v/>
      </c>
      <c r="N275" s="146">
        <f>IF(OR(L275="",L275="PENDING"),"",IF(L275="P",0,IF(L275="L",-J275,IF(G275&lt;0,J275*100/ABS(G275),J275*G275/100))))</f>
        <v/>
      </c>
      <c r="O275" s="145">
        <f>IF(OR(L275="",L275="PENDING"),"",IF(L275="P",0,M275-I275))</f>
        <v/>
      </c>
    </row>
    <row r="276" ht="18" customHeight="1" s="91">
      <c r="A276" s="131">
        <f>IF(C276="","",ROW()-7)</f>
        <v/>
      </c>
      <c r="B276" s="132" t="n"/>
      <c r="C276" s="132" t="n"/>
      <c r="D276" s="133" t="n"/>
      <c r="E276" s="133" t="n"/>
      <c r="F276" s="132" t="n"/>
      <c r="G276" s="134" t="n"/>
      <c r="H276" s="132" t="n"/>
      <c r="I276" s="135" t="n"/>
      <c r="J276" s="136" t="n"/>
      <c r="K276" s="132" t="n"/>
      <c r="L276" s="132" t="n"/>
      <c r="M276" s="137">
        <f>IF(OR(L276="",L276="PENDING"),"",IF(L276="P",I276,IF(L276="L",0,IF(G276&lt;0,I276+I276*100/ABS(G276),I276+I276*G276/100))))</f>
        <v/>
      </c>
      <c r="N276" s="138">
        <f>IF(OR(L276="",L276="PENDING"),"",IF(L276="P",0,IF(L276="L",-J276,IF(G276&lt;0,J276*100/ABS(G276),J276*G276/100))))</f>
        <v/>
      </c>
      <c r="O276" s="137">
        <f>IF(OR(L276="",L276="PENDING"),"",IF(L276="P",0,M276-I276))</f>
        <v/>
      </c>
    </row>
    <row r="277" ht="18" customHeight="1" s="91">
      <c r="A277" s="139">
        <f>IF(C277="","",ROW()-7)</f>
        <v/>
      </c>
      <c r="B277" s="140" t="n"/>
      <c r="C277" s="140" t="n"/>
      <c r="D277" s="141" t="n"/>
      <c r="E277" s="141" t="n"/>
      <c r="F277" s="140" t="n"/>
      <c r="G277" s="142" t="n"/>
      <c r="H277" s="140" t="n"/>
      <c r="I277" s="143" t="n"/>
      <c r="J277" s="144" t="n"/>
      <c r="K277" s="140" t="n"/>
      <c r="L277" s="140" t="n"/>
      <c r="M277" s="145">
        <f>IF(OR(L277="",L277="PENDING"),"",IF(L277="P",I277,IF(L277="L",0,IF(G277&lt;0,I277+I277*100/ABS(G277),I277+I277*G277/100))))</f>
        <v/>
      </c>
      <c r="N277" s="146">
        <f>IF(OR(L277="",L277="PENDING"),"",IF(L277="P",0,IF(L277="L",-J277,IF(G277&lt;0,J277*100/ABS(G277),J277*G277/100))))</f>
        <v/>
      </c>
      <c r="O277" s="145">
        <f>IF(OR(L277="",L277="PENDING"),"",IF(L277="P",0,M277-I277))</f>
        <v/>
      </c>
    </row>
    <row r="278" ht="18" customHeight="1" s="91">
      <c r="A278" s="131">
        <f>IF(C278="","",ROW()-7)</f>
        <v/>
      </c>
      <c r="B278" s="132" t="n"/>
      <c r="C278" s="132" t="n"/>
      <c r="D278" s="133" t="n"/>
      <c r="E278" s="133" t="n"/>
      <c r="F278" s="132" t="n"/>
      <c r="G278" s="134" t="n"/>
      <c r="H278" s="132" t="n"/>
      <c r="I278" s="135" t="n"/>
      <c r="J278" s="136" t="n"/>
      <c r="K278" s="132" t="n"/>
      <c r="L278" s="132" t="n"/>
      <c r="M278" s="137">
        <f>IF(OR(L278="",L278="PENDING"),"",IF(L278="P",I278,IF(L278="L",0,IF(G278&lt;0,I278+I278*100/ABS(G278),I278+I278*G278/100))))</f>
        <v/>
      </c>
      <c r="N278" s="138">
        <f>IF(OR(L278="",L278="PENDING"),"",IF(L278="P",0,IF(L278="L",-J278,IF(G278&lt;0,J278*100/ABS(G278),J278*G278/100))))</f>
        <v/>
      </c>
      <c r="O278" s="137">
        <f>IF(OR(L278="",L278="PENDING"),"",IF(L278="P",0,M278-I278))</f>
        <v/>
      </c>
    </row>
    <row r="279" ht="18" customHeight="1" s="91">
      <c r="A279" s="139">
        <f>IF(C279="","",ROW()-7)</f>
        <v/>
      </c>
      <c r="B279" s="140" t="n"/>
      <c r="C279" s="140" t="n"/>
      <c r="D279" s="141" t="n"/>
      <c r="E279" s="141" t="n"/>
      <c r="F279" s="140" t="n"/>
      <c r="G279" s="142" t="n"/>
      <c r="H279" s="140" t="n"/>
      <c r="I279" s="143" t="n"/>
      <c r="J279" s="144" t="n"/>
      <c r="K279" s="140" t="n"/>
      <c r="L279" s="140" t="n"/>
      <c r="M279" s="145">
        <f>IF(OR(L279="",L279="PENDING"),"",IF(L279="P",I279,IF(L279="L",0,IF(G279&lt;0,I279+I279*100/ABS(G279),I279+I279*G279/100))))</f>
        <v/>
      </c>
      <c r="N279" s="146">
        <f>IF(OR(L279="",L279="PENDING"),"",IF(L279="P",0,IF(L279="L",-J279,IF(G279&lt;0,J279*100/ABS(G279),J279*G279/100))))</f>
        <v/>
      </c>
      <c r="O279" s="145">
        <f>IF(OR(L279="",L279="PENDING"),"",IF(L279="P",0,M279-I279))</f>
        <v/>
      </c>
    </row>
    <row r="280" ht="18" customHeight="1" s="91">
      <c r="A280" s="131">
        <f>IF(C280="","",ROW()-7)</f>
        <v/>
      </c>
      <c r="B280" s="132" t="n"/>
      <c r="C280" s="132" t="n"/>
      <c r="D280" s="133" t="n"/>
      <c r="E280" s="133" t="n"/>
      <c r="F280" s="132" t="n"/>
      <c r="G280" s="134" t="n"/>
      <c r="H280" s="132" t="n"/>
      <c r="I280" s="135" t="n"/>
      <c r="J280" s="136" t="n"/>
      <c r="K280" s="132" t="n"/>
      <c r="L280" s="132" t="n"/>
      <c r="M280" s="137">
        <f>IF(OR(L280="",L280="PENDING"),"",IF(L280="P",I280,IF(L280="L",0,IF(G280&lt;0,I280+I280*100/ABS(G280),I280+I280*G280/100))))</f>
        <v/>
      </c>
      <c r="N280" s="138">
        <f>IF(OR(L280="",L280="PENDING"),"",IF(L280="P",0,IF(L280="L",-J280,IF(G280&lt;0,J280*100/ABS(G280),J280*G280/100))))</f>
        <v/>
      </c>
      <c r="O280" s="137">
        <f>IF(OR(L280="",L280="PENDING"),"",IF(L280="P",0,M280-I280))</f>
        <v/>
      </c>
    </row>
    <row r="281" ht="18" customHeight="1" s="91">
      <c r="A281" s="139">
        <f>IF(C281="","",ROW()-7)</f>
        <v/>
      </c>
      <c r="B281" s="140" t="n"/>
      <c r="C281" s="140" t="n"/>
      <c r="D281" s="141" t="n"/>
      <c r="E281" s="141" t="n"/>
      <c r="F281" s="140" t="n"/>
      <c r="G281" s="142" t="n"/>
      <c r="H281" s="140" t="n"/>
      <c r="I281" s="143" t="n"/>
      <c r="J281" s="144" t="n"/>
      <c r="K281" s="140" t="n"/>
      <c r="L281" s="140" t="n"/>
      <c r="M281" s="145">
        <f>IF(OR(L281="",L281="PENDING"),"",IF(L281="P",I281,IF(L281="L",0,IF(G281&lt;0,I281+I281*100/ABS(G281),I281+I281*G281/100))))</f>
        <v/>
      </c>
      <c r="N281" s="146">
        <f>IF(OR(L281="",L281="PENDING"),"",IF(L281="P",0,IF(L281="L",-J281,IF(G281&lt;0,J281*100/ABS(G281),J281*G281/100))))</f>
        <v/>
      </c>
      <c r="O281" s="145">
        <f>IF(OR(L281="",L281="PENDING"),"",IF(L281="P",0,M281-I281))</f>
        <v/>
      </c>
    </row>
    <row r="282" ht="18" customHeight="1" s="91">
      <c r="A282" s="131">
        <f>IF(C282="","",ROW()-7)</f>
        <v/>
      </c>
      <c r="B282" s="132" t="n"/>
      <c r="C282" s="132" t="n"/>
      <c r="D282" s="133" t="n"/>
      <c r="E282" s="133" t="n"/>
      <c r="F282" s="132" t="n"/>
      <c r="G282" s="134" t="n"/>
      <c r="H282" s="132" t="n"/>
      <c r="I282" s="135" t="n"/>
      <c r="J282" s="136" t="n"/>
      <c r="K282" s="132" t="n"/>
      <c r="L282" s="132" t="n"/>
      <c r="M282" s="137">
        <f>IF(OR(L282="",L282="PENDING"),"",IF(L282="P",I282,IF(L282="L",0,IF(G282&lt;0,I282+I282*100/ABS(G282),I282+I282*G282/100))))</f>
        <v/>
      </c>
      <c r="N282" s="138">
        <f>IF(OR(L282="",L282="PENDING"),"",IF(L282="P",0,IF(L282="L",-J282,IF(G282&lt;0,J282*100/ABS(G282),J282*G282/100))))</f>
        <v/>
      </c>
      <c r="O282" s="137">
        <f>IF(OR(L282="",L282="PENDING"),"",IF(L282="P",0,M282-I282))</f>
        <v/>
      </c>
    </row>
    <row r="283" ht="18" customHeight="1" s="91">
      <c r="A283" s="139">
        <f>IF(C283="","",ROW()-7)</f>
        <v/>
      </c>
      <c r="B283" s="140" t="n"/>
      <c r="C283" s="140" t="n"/>
      <c r="D283" s="141" t="n"/>
      <c r="E283" s="141" t="n"/>
      <c r="F283" s="140" t="n"/>
      <c r="G283" s="142" t="n"/>
      <c r="H283" s="140" t="n"/>
      <c r="I283" s="143" t="n"/>
      <c r="J283" s="144" t="n"/>
      <c r="K283" s="140" t="n"/>
      <c r="L283" s="140" t="n"/>
      <c r="M283" s="145">
        <f>IF(OR(L283="",L283="PENDING"),"",IF(L283="P",I283,IF(L283="L",0,IF(G283&lt;0,I283+I283*100/ABS(G283),I283+I283*G283/100))))</f>
        <v/>
      </c>
      <c r="N283" s="146">
        <f>IF(OR(L283="",L283="PENDING"),"",IF(L283="P",0,IF(L283="L",-J283,IF(G283&lt;0,J283*100/ABS(G283),J283*G283/100))))</f>
        <v/>
      </c>
      <c r="O283" s="145">
        <f>IF(OR(L283="",L283="PENDING"),"",IF(L283="P",0,M283-I283))</f>
        <v/>
      </c>
    </row>
    <row r="284" ht="18" customHeight="1" s="91">
      <c r="A284" s="131">
        <f>IF(C284="","",ROW()-7)</f>
        <v/>
      </c>
      <c r="B284" s="132" t="n"/>
      <c r="C284" s="132" t="n"/>
      <c r="D284" s="133" t="n"/>
      <c r="E284" s="133" t="n"/>
      <c r="F284" s="132" t="n"/>
      <c r="G284" s="134" t="n"/>
      <c r="H284" s="132" t="n"/>
      <c r="I284" s="135" t="n"/>
      <c r="J284" s="136" t="n"/>
      <c r="K284" s="132" t="n"/>
      <c r="L284" s="132" t="n"/>
      <c r="M284" s="137">
        <f>IF(OR(L284="",L284="PENDING"),"",IF(L284="P",I284,IF(L284="L",0,IF(G284&lt;0,I284+I284*100/ABS(G284),I284+I284*G284/100))))</f>
        <v/>
      </c>
      <c r="N284" s="138">
        <f>IF(OR(L284="",L284="PENDING"),"",IF(L284="P",0,IF(L284="L",-J284,IF(G284&lt;0,J284*100/ABS(G284),J284*G284/100))))</f>
        <v/>
      </c>
      <c r="O284" s="137">
        <f>IF(OR(L284="",L284="PENDING"),"",IF(L284="P",0,M284-I284))</f>
        <v/>
      </c>
    </row>
    <row r="285" ht="18" customHeight="1" s="91">
      <c r="A285" s="139">
        <f>IF(C285="","",ROW()-7)</f>
        <v/>
      </c>
      <c r="B285" s="140" t="n"/>
      <c r="C285" s="140" t="n"/>
      <c r="D285" s="141" t="n"/>
      <c r="E285" s="141" t="n"/>
      <c r="F285" s="140" t="n"/>
      <c r="G285" s="142" t="n"/>
      <c r="H285" s="140" t="n"/>
      <c r="I285" s="143" t="n"/>
      <c r="J285" s="144" t="n"/>
      <c r="K285" s="140" t="n"/>
      <c r="L285" s="140" t="n"/>
      <c r="M285" s="145">
        <f>IF(OR(L285="",L285="PENDING"),"",IF(L285="P",I285,IF(L285="L",0,IF(G285&lt;0,I285+I285*100/ABS(G285),I285+I285*G285/100))))</f>
        <v/>
      </c>
      <c r="N285" s="146">
        <f>IF(OR(L285="",L285="PENDING"),"",IF(L285="P",0,IF(L285="L",-J285,IF(G285&lt;0,J285*100/ABS(G285),J285*G285/100))))</f>
        <v/>
      </c>
      <c r="O285" s="145">
        <f>IF(OR(L285="",L285="PENDING"),"",IF(L285="P",0,M285-I285))</f>
        <v/>
      </c>
    </row>
    <row r="286" ht="18" customHeight="1" s="91">
      <c r="A286" s="131">
        <f>IF(C286="","",ROW()-7)</f>
        <v/>
      </c>
      <c r="B286" s="132" t="n"/>
      <c r="C286" s="132" t="n"/>
      <c r="D286" s="133" t="n"/>
      <c r="E286" s="133" t="n"/>
      <c r="F286" s="132" t="n"/>
      <c r="G286" s="134" t="n"/>
      <c r="H286" s="132" t="n"/>
      <c r="I286" s="135" t="n"/>
      <c r="J286" s="136" t="n"/>
      <c r="K286" s="132" t="n"/>
      <c r="L286" s="132" t="n"/>
      <c r="M286" s="137">
        <f>IF(OR(L286="",L286="PENDING"),"",IF(L286="P",I286,IF(L286="L",0,IF(G286&lt;0,I286+I286*100/ABS(G286),I286+I286*G286/100))))</f>
        <v/>
      </c>
      <c r="N286" s="138">
        <f>IF(OR(L286="",L286="PENDING"),"",IF(L286="P",0,IF(L286="L",-J286,IF(G286&lt;0,J286*100/ABS(G286),J286*G286/100))))</f>
        <v/>
      </c>
      <c r="O286" s="137">
        <f>IF(OR(L286="",L286="PENDING"),"",IF(L286="P",0,M286-I286))</f>
        <v/>
      </c>
    </row>
    <row r="287" ht="18" customHeight="1" s="91">
      <c r="A287" s="139">
        <f>IF(C287="","",ROW()-7)</f>
        <v/>
      </c>
      <c r="B287" s="140" t="n"/>
      <c r="C287" s="140" t="n"/>
      <c r="D287" s="141" t="n"/>
      <c r="E287" s="141" t="n"/>
      <c r="F287" s="140" t="n"/>
      <c r="G287" s="142" t="n"/>
      <c r="H287" s="140" t="n"/>
      <c r="I287" s="143" t="n"/>
      <c r="J287" s="144" t="n"/>
      <c r="K287" s="140" t="n"/>
      <c r="L287" s="140" t="n"/>
      <c r="M287" s="145">
        <f>IF(OR(L287="",L287="PENDING"),"",IF(L287="P",I287,IF(L287="L",0,IF(G287&lt;0,I287+I287*100/ABS(G287),I287+I287*G287/100))))</f>
        <v/>
      </c>
      <c r="N287" s="146">
        <f>IF(OR(L287="",L287="PENDING"),"",IF(L287="P",0,IF(L287="L",-J287,IF(G287&lt;0,J287*100/ABS(G287),J287*G287/100))))</f>
        <v/>
      </c>
      <c r="O287" s="145">
        <f>IF(OR(L287="",L287="PENDING"),"",IF(L287="P",0,M287-I287))</f>
        <v/>
      </c>
    </row>
    <row r="288" ht="18" customHeight="1" s="91">
      <c r="A288" s="131">
        <f>IF(C288="","",ROW()-7)</f>
        <v/>
      </c>
      <c r="B288" s="132" t="n"/>
      <c r="C288" s="132" t="n"/>
      <c r="D288" s="133" t="n"/>
      <c r="E288" s="133" t="n"/>
      <c r="F288" s="132" t="n"/>
      <c r="G288" s="134" t="n"/>
      <c r="H288" s="132" t="n"/>
      <c r="I288" s="135" t="n"/>
      <c r="J288" s="136" t="n"/>
      <c r="K288" s="132" t="n"/>
      <c r="L288" s="132" t="n"/>
      <c r="M288" s="137">
        <f>IF(OR(L288="",L288="PENDING"),"",IF(L288="P",I288,IF(L288="L",0,IF(G288&lt;0,I288+I288*100/ABS(G288),I288+I288*G288/100))))</f>
        <v/>
      </c>
      <c r="N288" s="138">
        <f>IF(OR(L288="",L288="PENDING"),"",IF(L288="P",0,IF(L288="L",-J288,IF(G288&lt;0,J288*100/ABS(G288),J288*G288/100))))</f>
        <v/>
      </c>
      <c r="O288" s="137">
        <f>IF(OR(L288="",L288="PENDING"),"",IF(L288="P",0,M288-I288))</f>
        <v/>
      </c>
    </row>
    <row r="289" ht="18" customHeight="1" s="91">
      <c r="A289" s="139">
        <f>IF(C289="","",ROW()-7)</f>
        <v/>
      </c>
      <c r="B289" s="140" t="n"/>
      <c r="C289" s="140" t="n"/>
      <c r="D289" s="141" t="n"/>
      <c r="E289" s="141" t="n"/>
      <c r="F289" s="140" t="n"/>
      <c r="G289" s="142" t="n"/>
      <c r="H289" s="140" t="n"/>
      <c r="I289" s="143" t="n"/>
      <c r="J289" s="144" t="n"/>
      <c r="K289" s="140" t="n"/>
      <c r="L289" s="140" t="n"/>
      <c r="M289" s="145">
        <f>IF(OR(L289="",L289="PENDING"),"",IF(L289="P",I289,IF(L289="L",0,IF(G289&lt;0,I289+I289*100/ABS(G289),I289+I289*G289/100))))</f>
        <v/>
      </c>
      <c r="N289" s="146">
        <f>IF(OR(L289="",L289="PENDING"),"",IF(L289="P",0,IF(L289="L",-J289,IF(G289&lt;0,J289*100/ABS(G289),J289*G289/100))))</f>
        <v/>
      </c>
      <c r="O289" s="145">
        <f>IF(OR(L289="",L289="PENDING"),"",IF(L289="P",0,M289-I289))</f>
        <v/>
      </c>
    </row>
    <row r="290" ht="18" customHeight="1" s="91">
      <c r="A290" s="131">
        <f>IF(C290="","",ROW()-7)</f>
        <v/>
      </c>
      <c r="B290" s="132" t="n"/>
      <c r="C290" s="132" t="n"/>
      <c r="D290" s="133" t="n"/>
      <c r="E290" s="133" t="n"/>
      <c r="F290" s="132" t="n"/>
      <c r="G290" s="134" t="n"/>
      <c r="H290" s="132" t="n"/>
      <c r="I290" s="135" t="n"/>
      <c r="J290" s="136" t="n"/>
      <c r="K290" s="132" t="n"/>
      <c r="L290" s="132" t="n"/>
      <c r="M290" s="137">
        <f>IF(OR(L290="",L290="PENDING"),"",IF(L290="P",I290,IF(L290="L",0,IF(G290&lt;0,I290+I290*100/ABS(G290),I290+I290*G290/100))))</f>
        <v/>
      </c>
      <c r="N290" s="138">
        <f>IF(OR(L290="",L290="PENDING"),"",IF(L290="P",0,IF(L290="L",-J290,IF(G290&lt;0,J290*100/ABS(G290),J290*G290/100))))</f>
        <v/>
      </c>
      <c r="O290" s="137">
        <f>IF(OR(L290="",L290="PENDING"),"",IF(L290="P",0,M290-I290))</f>
        <v/>
      </c>
    </row>
    <row r="291" ht="18" customHeight="1" s="91">
      <c r="A291" s="139">
        <f>IF(C291="","",ROW()-7)</f>
        <v/>
      </c>
      <c r="B291" s="140" t="n"/>
      <c r="C291" s="140" t="n"/>
      <c r="D291" s="141" t="n"/>
      <c r="E291" s="141" t="n"/>
      <c r="F291" s="140" t="n"/>
      <c r="G291" s="142" t="n"/>
      <c r="H291" s="140" t="n"/>
      <c r="I291" s="143" t="n"/>
      <c r="J291" s="144" t="n"/>
      <c r="K291" s="140" t="n"/>
      <c r="L291" s="140" t="n"/>
      <c r="M291" s="145">
        <f>IF(OR(L291="",L291="PENDING"),"",IF(L291="P",I291,IF(L291="L",0,IF(G291&lt;0,I291+I291*100/ABS(G291),I291+I291*G291/100))))</f>
        <v/>
      </c>
      <c r="N291" s="146">
        <f>IF(OR(L291="",L291="PENDING"),"",IF(L291="P",0,IF(L291="L",-J291,IF(G291&lt;0,J291*100/ABS(G291),J291*G291/100))))</f>
        <v/>
      </c>
      <c r="O291" s="145">
        <f>IF(OR(L291="",L291="PENDING"),"",IF(L291="P",0,M291-I291))</f>
        <v/>
      </c>
    </row>
    <row r="292" ht="18" customHeight="1" s="91">
      <c r="A292" s="131">
        <f>IF(C292="","",ROW()-7)</f>
        <v/>
      </c>
      <c r="B292" s="132" t="n"/>
      <c r="C292" s="132" t="n"/>
      <c r="D292" s="133" t="n"/>
      <c r="E292" s="133" t="n"/>
      <c r="F292" s="132" t="n"/>
      <c r="G292" s="134" t="n"/>
      <c r="H292" s="132" t="n"/>
      <c r="I292" s="135" t="n"/>
      <c r="J292" s="136" t="n"/>
      <c r="K292" s="132" t="n"/>
      <c r="L292" s="132" t="n"/>
      <c r="M292" s="137">
        <f>IF(OR(L292="",L292="PENDING"),"",IF(L292="P",I292,IF(L292="L",0,IF(G292&lt;0,I292+I292*100/ABS(G292),I292+I292*G292/100))))</f>
        <v/>
      </c>
      <c r="N292" s="138">
        <f>IF(OR(L292="",L292="PENDING"),"",IF(L292="P",0,IF(L292="L",-J292,IF(G292&lt;0,J292*100/ABS(G292),J292*G292/100))))</f>
        <v/>
      </c>
      <c r="O292" s="137">
        <f>IF(OR(L292="",L292="PENDING"),"",IF(L292="P",0,M292-I292))</f>
        <v/>
      </c>
    </row>
    <row r="293" ht="18" customHeight="1" s="91">
      <c r="A293" s="139">
        <f>IF(C293="","",ROW()-7)</f>
        <v/>
      </c>
      <c r="B293" s="140" t="n"/>
      <c r="C293" s="140" t="n"/>
      <c r="D293" s="141" t="n"/>
      <c r="E293" s="141" t="n"/>
      <c r="F293" s="140" t="n"/>
      <c r="G293" s="142" t="n"/>
      <c r="H293" s="140" t="n"/>
      <c r="I293" s="143" t="n"/>
      <c r="J293" s="144" t="n"/>
      <c r="K293" s="140" t="n"/>
      <c r="L293" s="140" t="n"/>
      <c r="M293" s="145">
        <f>IF(OR(L293="",L293="PENDING"),"",IF(L293="P",I293,IF(L293="L",0,IF(G293&lt;0,I293+I293*100/ABS(G293),I293+I293*G293/100))))</f>
        <v/>
      </c>
      <c r="N293" s="146">
        <f>IF(OR(L293="",L293="PENDING"),"",IF(L293="P",0,IF(L293="L",-J293,IF(G293&lt;0,J293*100/ABS(G293),J293*G293/100))))</f>
        <v/>
      </c>
      <c r="O293" s="145">
        <f>IF(OR(L293="",L293="PENDING"),"",IF(L293="P",0,M293-I293))</f>
        <v/>
      </c>
    </row>
    <row r="294" ht="18" customHeight="1" s="91">
      <c r="A294" s="131">
        <f>IF(C294="","",ROW()-7)</f>
        <v/>
      </c>
      <c r="B294" s="132" t="n"/>
      <c r="C294" s="132" t="n"/>
      <c r="D294" s="133" t="n"/>
      <c r="E294" s="133" t="n"/>
      <c r="F294" s="132" t="n"/>
      <c r="G294" s="134" t="n"/>
      <c r="H294" s="132" t="n"/>
      <c r="I294" s="135" t="n"/>
      <c r="J294" s="136" t="n"/>
      <c r="K294" s="132" t="n"/>
      <c r="L294" s="132" t="n"/>
      <c r="M294" s="137">
        <f>IF(OR(L294="",L294="PENDING"),"",IF(L294="P",I294,IF(L294="L",0,IF(G294&lt;0,I294+I294*100/ABS(G294),I294+I294*G294/100))))</f>
        <v/>
      </c>
      <c r="N294" s="138">
        <f>IF(OR(L294="",L294="PENDING"),"",IF(L294="P",0,IF(L294="L",-J294,IF(G294&lt;0,J294*100/ABS(G294),J294*G294/100))))</f>
        <v/>
      </c>
      <c r="O294" s="137">
        <f>IF(OR(L294="",L294="PENDING"),"",IF(L294="P",0,M294-I294))</f>
        <v/>
      </c>
    </row>
    <row r="295" ht="18" customHeight="1" s="91">
      <c r="A295" s="139">
        <f>IF(C295="","",ROW()-7)</f>
        <v/>
      </c>
      <c r="B295" s="140" t="n"/>
      <c r="C295" s="140" t="n"/>
      <c r="D295" s="141" t="n"/>
      <c r="E295" s="141" t="n"/>
      <c r="F295" s="140" t="n"/>
      <c r="G295" s="142" t="n"/>
      <c r="H295" s="140" t="n"/>
      <c r="I295" s="143" t="n"/>
      <c r="J295" s="144" t="n"/>
      <c r="K295" s="140" t="n"/>
      <c r="L295" s="140" t="n"/>
      <c r="M295" s="145">
        <f>IF(OR(L295="",L295="PENDING"),"",IF(L295="P",I295,IF(L295="L",0,IF(G295&lt;0,I295+I295*100/ABS(G295),I295+I295*G295/100))))</f>
        <v/>
      </c>
      <c r="N295" s="146">
        <f>IF(OR(L295="",L295="PENDING"),"",IF(L295="P",0,IF(L295="L",-J295,IF(G295&lt;0,J295*100/ABS(G295),J295*G295/100))))</f>
        <v/>
      </c>
      <c r="O295" s="145">
        <f>IF(OR(L295="",L295="PENDING"),"",IF(L295="P",0,M295-I295))</f>
        <v/>
      </c>
    </row>
    <row r="296" ht="18" customHeight="1" s="91">
      <c r="A296" s="131">
        <f>IF(C296="","",ROW()-7)</f>
        <v/>
      </c>
      <c r="B296" s="132" t="n"/>
      <c r="C296" s="132" t="n"/>
      <c r="D296" s="133" t="n"/>
      <c r="E296" s="133" t="n"/>
      <c r="F296" s="132" t="n"/>
      <c r="G296" s="134" t="n"/>
      <c r="H296" s="132" t="n"/>
      <c r="I296" s="135" t="n"/>
      <c r="J296" s="136" t="n"/>
      <c r="K296" s="132" t="n"/>
      <c r="L296" s="132" t="n"/>
      <c r="M296" s="137">
        <f>IF(OR(L296="",L296="PENDING"),"",IF(L296="P",I296,IF(L296="L",0,IF(G296&lt;0,I296+I296*100/ABS(G296),I296+I296*G296/100))))</f>
        <v/>
      </c>
      <c r="N296" s="138">
        <f>IF(OR(L296="",L296="PENDING"),"",IF(L296="P",0,IF(L296="L",-J296,IF(G296&lt;0,J296*100/ABS(G296),J296*G296/100))))</f>
        <v/>
      </c>
      <c r="O296" s="137">
        <f>IF(OR(L296="",L296="PENDING"),"",IF(L296="P",0,M296-I296))</f>
        <v/>
      </c>
    </row>
    <row r="297" ht="18" customHeight="1" s="91">
      <c r="A297" s="139">
        <f>IF(C297="","",ROW()-7)</f>
        <v/>
      </c>
      <c r="B297" s="140" t="n"/>
      <c r="C297" s="140" t="n"/>
      <c r="D297" s="141" t="n"/>
      <c r="E297" s="141" t="n"/>
      <c r="F297" s="140" t="n"/>
      <c r="G297" s="142" t="n"/>
      <c r="H297" s="140" t="n"/>
      <c r="I297" s="143" t="n"/>
      <c r="J297" s="144" t="n"/>
      <c r="K297" s="140" t="n"/>
      <c r="L297" s="140" t="n"/>
      <c r="M297" s="145">
        <f>IF(OR(L297="",L297="PENDING"),"",IF(L297="P",I297,IF(L297="L",0,IF(G297&lt;0,I297+I297*100/ABS(G297),I297+I297*G297/100))))</f>
        <v/>
      </c>
      <c r="N297" s="146">
        <f>IF(OR(L297="",L297="PENDING"),"",IF(L297="P",0,IF(L297="L",-J297,IF(G297&lt;0,J297*100/ABS(G297),J297*G297/100))))</f>
        <v/>
      </c>
      <c r="O297" s="145">
        <f>IF(OR(L297="",L297="PENDING"),"",IF(L297="P",0,M297-I297))</f>
        <v/>
      </c>
    </row>
    <row r="298" ht="18" customHeight="1" s="91">
      <c r="A298" s="131">
        <f>IF(C298="","",ROW()-7)</f>
        <v/>
      </c>
      <c r="B298" s="132" t="n"/>
      <c r="C298" s="132" t="n"/>
      <c r="D298" s="133" t="n"/>
      <c r="E298" s="133" t="n"/>
      <c r="F298" s="132" t="n"/>
      <c r="G298" s="134" t="n"/>
      <c r="H298" s="132" t="n"/>
      <c r="I298" s="135" t="n"/>
      <c r="J298" s="136" t="n"/>
      <c r="K298" s="132" t="n"/>
      <c r="L298" s="132" t="n"/>
      <c r="M298" s="137">
        <f>IF(OR(L298="",L298="PENDING"),"",IF(L298="P",I298,IF(L298="L",0,IF(G298&lt;0,I298+I298*100/ABS(G298),I298+I298*G298/100))))</f>
        <v/>
      </c>
      <c r="N298" s="138">
        <f>IF(OR(L298="",L298="PENDING"),"",IF(L298="P",0,IF(L298="L",-J298,IF(G298&lt;0,J298*100/ABS(G298),J298*G298/100))))</f>
        <v/>
      </c>
      <c r="O298" s="137">
        <f>IF(OR(L298="",L298="PENDING"),"",IF(L298="P",0,M298-I298))</f>
        <v/>
      </c>
    </row>
    <row r="299" ht="18" customHeight="1" s="91">
      <c r="A299" s="139">
        <f>IF(C299="","",ROW()-7)</f>
        <v/>
      </c>
      <c r="B299" s="140" t="n"/>
      <c r="C299" s="140" t="n"/>
      <c r="D299" s="141" t="n"/>
      <c r="E299" s="141" t="n"/>
      <c r="F299" s="140" t="n"/>
      <c r="G299" s="142" t="n"/>
      <c r="H299" s="140" t="n"/>
      <c r="I299" s="143" t="n"/>
      <c r="J299" s="144" t="n"/>
      <c r="K299" s="140" t="n"/>
      <c r="L299" s="140" t="n"/>
      <c r="M299" s="145">
        <f>IF(OR(L299="",L299="PENDING"),"",IF(L299="P",I299,IF(L299="L",0,IF(G299&lt;0,I299+I299*100/ABS(G299),I299+I299*G299/100))))</f>
        <v/>
      </c>
      <c r="N299" s="146">
        <f>IF(OR(L299="",L299="PENDING"),"",IF(L299="P",0,IF(L299="L",-J299,IF(G299&lt;0,J299*100/ABS(G299),J299*G299/100))))</f>
        <v/>
      </c>
      <c r="O299" s="145">
        <f>IF(OR(L299="",L299="PENDING"),"",IF(L299="P",0,M299-I299))</f>
        <v/>
      </c>
    </row>
    <row r="300" ht="18" customHeight="1" s="91">
      <c r="A300" s="131">
        <f>IF(C300="","",ROW()-7)</f>
        <v/>
      </c>
      <c r="B300" s="132" t="n"/>
      <c r="C300" s="132" t="n"/>
      <c r="D300" s="133" t="n"/>
      <c r="E300" s="133" t="n"/>
      <c r="F300" s="132" t="n"/>
      <c r="G300" s="134" t="n"/>
      <c r="H300" s="132" t="n"/>
      <c r="I300" s="135" t="n"/>
      <c r="J300" s="136" t="n"/>
      <c r="K300" s="132" t="n"/>
      <c r="L300" s="132" t="n"/>
      <c r="M300" s="137">
        <f>IF(OR(L300="",L300="PENDING"),"",IF(L300="P",I300,IF(L300="L",0,IF(G300&lt;0,I300+I300*100/ABS(G300),I300+I300*G300/100))))</f>
        <v/>
      </c>
      <c r="N300" s="138">
        <f>IF(OR(L300="",L300="PENDING"),"",IF(L300="P",0,IF(L300="L",-J300,IF(G300&lt;0,J300*100/ABS(G300),J300*G300/100))))</f>
        <v/>
      </c>
      <c r="O300" s="137">
        <f>IF(OR(L300="",L300="PENDING"),"",IF(L300="P",0,M300-I300))</f>
        <v/>
      </c>
    </row>
    <row r="301" ht="18" customHeight="1" s="91">
      <c r="A301" s="139">
        <f>IF(C301="","",ROW()-7)</f>
        <v/>
      </c>
      <c r="B301" s="140" t="n"/>
      <c r="C301" s="140" t="n"/>
      <c r="D301" s="141" t="n"/>
      <c r="E301" s="141" t="n"/>
      <c r="F301" s="140" t="n"/>
      <c r="G301" s="142" t="n"/>
      <c r="H301" s="140" t="n"/>
      <c r="I301" s="143" t="n"/>
      <c r="J301" s="144" t="n"/>
      <c r="K301" s="140" t="n"/>
      <c r="L301" s="140" t="n"/>
      <c r="M301" s="145">
        <f>IF(OR(L301="",L301="PENDING"),"",IF(L301="P",I301,IF(L301="L",0,IF(G301&lt;0,I301+I301*100/ABS(G301),I301+I301*G301/100))))</f>
        <v/>
      </c>
      <c r="N301" s="146">
        <f>IF(OR(L301="",L301="PENDING"),"",IF(L301="P",0,IF(L301="L",-J301,IF(G301&lt;0,J301*100/ABS(G301),J301*G301/100))))</f>
        <v/>
      </c>
      <c r="O301" s="145">
        <f>IF(OR(L301="",L301="PENDING"),"",IF(L301="P",0,M301-I301))</f>
        <v/>
      </c>
    </row>
    <row r="302" ht="18" customHeight="1" s="91">
      <c r="A302" s="131">
        <f>IF(C302="","",ROW()-7)</f>
        <v/>
      </c>
      <c r="B302" s="132" t="n"/>
      <c r="C302" s="132" t="n"/>
      <c r="D302" s="133" t="n"/>
      <c r="E302" s="133" t="n"/>
      <c r="F302" s="132" t="n"/>
      <c r="G302" s="134" t="n"/>
      <c r="H302" s="132" t="n"/>
      <c r="I302" s="135" t="n"/>
      <c r="J302" s="136" t="n"/>
      <c r="K302" s="132" t="n"/>
      <c r="L302" s="132" t="n"/>
      <c r="M302" s="137">
        <f>IF(OR(L302="",L302="PENDING"),"",IF(L302="P",I302,IF(L302="L",0,IF(G302&lt;0,I302+I302*100/ABS(G302),I302+I302*G302/100))))</f>
        <v/>
      </c>
      <c r="N302" s="138">
        <f>IF(OR(L302="",L302="PENDING"),"",IF(L302="P",0,IF(L302="L",-J302,IF(G302&lt;0,J302*100/ABS(G302),J302*G302/100))))</f>
        <v/>
      </c>
      <c r="O302" s="137">
        <f>IF(OR(L302="",L302="PENDING"),"",IF(L302="P",0,M302-I302))</f>
        <v/>
      </c>
    </row>
    <row r="303" ht="18" customHeight="1" s="91">
      <c r="A303" s="139">
        <f>IF(C303="","",ROW()-7)</f>
        <v/>
      </c>
      <c r="B303" s="140" t="n"/>
      <c r="C303" s="140" t="n"/>
      <c r="D303" s="141" t="n"/>
      <c r="E303" s="141" t="n"/>
      <c r="F303" s="140" t="n"/>
      <c r="G303" s="142" t="n"/>
      <c r="H303" s="140" t="n"/>
      <c r="I303" s="143" t="n"/>
      <c r="J303" s="144" t="n"/>
      <c r="K303" s="140" t="n"/>
      <c r="L303" s="140" t="n"/>
      <c r="M303" s="145">
        <f>IF(OR(L303="",L303="PENDING"),"",IF(L303="P",I303,IF(L303="L",0,IF(G303&lt;0,I303+I303*100/ABS(G303),I303+I303*G303/100))))</f>
        <v/>
      </c>
      <c r="N303" s="146">
        <f>IF(OR(L303="",L303="PENDING"),"",IF(L303="P",0,IF(L303="L",-J303,IF(G303&lt;0,J303*100/ABS(G303),J303*G303/100))))</f>
        <v/>
      </c>
      <c r="O303" s="145">
        <f>IF(OR(L303="",L303="PENDING"),"",IF(L303="P",0,M303-I303))</f>
        <v/>
      </c>
    </row>
    <row r="304" ht="18" customHeight="1" s="91">
      <c r="A304" s="131">
        <f>IF(C304="","",ROW()-7)</f>
        <v/>
      </c>
      <c r="B304" s="132" t="n"/>
      <c r="C304" s="132" t="n"/>
      <c r="D304" s="133" t="n"/>
      <c r="E304" s="133" t="n"/>
      <c r="F304" s="132" t="n"/>
      <c r="G304" s="134" t="n"/>
      <c r="H304" s="132" t="n"/>
      <c r="I304" s="135" t="n"/>
      <c r="J304" s="136" t="n"/>
      <c r="K304" s="132" t="n"/>
      <c r="L304" s="132" t="n"/>
      <c r="M304" s="137">
        <f>IF(OR(L304="",L304="PENDING"),"",IF(L304="P",I304,IF(L304="L",0,IF(G304&lt;0,I304+I304*100/ABS(G304),I304+I304*G304/100))))</f>
        <v/>
      </c>
      <c r="N304" s="138">
        <f>IF(OR(L304="",L304="PENDING"),"",IF(L304="P",0,IF(L304="L",-J304,IF(G304&lt;0,J304*100/ABS(G304),J304*G304/100))))</f>
        <v/>
      </c>
      <c r="O304" s="137">
        <f>IF(OR(L304="",L304="PENDING"),"",IF(L304="P",0,M304-I304))</f>
        <v/>
      </c>
    </row>
    <row r="305" ht="18" customHeight="1" s="91">
      <c r="A305" s="139">
        <f>IF(C305="","",ROW()-7)</f>
        <v/>
      </c>
      <c r="B305" s="140" t="n"/>
      <c r="C305" s="140" t="n"/>
      <c r="D305" s="141" t="n"/>
      <c r="E305" s="141" t="n"/>
      <c r="F305" s="140" t="n"/>
      <c r="G305" s="142" t="n"/>
      <c r="H305" s="140" t="n"/>
      <c r="I305" s="143" t="n"/>
      <c r="J305" s="144" t="n"/>
      <c r="K305" s="140" t="n"/>
      <c r="L305" s="140" t="n"/>
      <c r="M305" s="145">
        <f>IF(OR(L305="",L305="PENDING"),"",IF(L305="P",I305,IF(L305="L",0,IF(G305&lt;0,I305+I305*100/ABS(G305),I305+I305*G305/100))))</f>
        <v/>
      </c>
      <c r="N305" s="146">
        <f>IF(OR(L305="",L305="PENDING"),"",IF(L305="P",0,IF(L305="L",-J305,IF(G305&lt;0,J305*100/ABS(G305),J305*G305/100))))</f>
        <v/>
      </c>
      <c r="O305" s="145">
        <f>IF(OR(L305="",L305="PENDING"),"",IF(L305="P",0,M305-I305))</f>
        <v/>
      </c>
    </row>
    <row r="306" ht="18" customHeight="1" s="91">
      <c r="A306" s="131">
        <f>IF(C306="","",ROW()-7)</f>
        <v/>
      </c>
      <c r="B306" s="132" t="n"/>
      <c r="C306" s="132" t="n"/>
      <c r="D306" s="133" t="n"/>
      <c r="E306" s="133" t="n"/>
      <c r="F306" s="132" t="n"/>
      <c r="G306" s="134" t="n"/>
      <c r="H306" s="132" t="n"/>
      <c r="I306" s="135" t="n"/>
      <c r="J306" s="136" t="n"/>
      <c r="K306" s="132" t="n"/>
      <c r="L306" s="132" t="n"/>
      <c r="M306" s="137">
        <f>IF(OR(L306="",L306="PENDING"),"",IF(L306="P",I306,IF(L306="L",0,IF(G306&lt;0,I306+I306*100/ABS(G306),I306+I306*G306/100))))</f>
        <v/>
      </c>
      <c r="N306" s="138">
        <f>IF(OR(L306="",L306="PENDING"),"",IF(L306="P",0,IF(L306="L",-J306,IF(G306&lt;0,J306*100/ABS(G306),J306*G306/100))))</f>
        <v/>
      </c>
      <c r="O306" s="137">
        <f>IF(OR(L306="",L306="PENDING"),"",IF(L306="P",0,M306-I306))</f>
        <v/>
      </c>
    </row>
    <row r="307" ht="18" customHeight="1" s="91">
      <c r="A307" s="139">
        <f>IF(C307="","",ROW()-7)</f>
        <v/>
      </c>
      <c r="B307" s="140" t="n"/>
      <c r="C307" s="140" t="n"/>
      <c r="D307" s="141" t="n"/>
      <c r="E307" s="141" t="n"/>
      <c r="F307" s="140" t="n"/>
      <c r="G307" s="142" t="n"/>
      <c r="H307" s="140" t="n"/>
      <c r="I307" s="143" t="n"/>
      <c r="J307" s="144" t="n"/>
      <c r="K307" s="140" t="n"/>
      <c r="L307" s="140" t="n"/>
      <c r="M307" s="145">
        <f>IF(OR(L307="",L307="PENDING"),"",IF(L307="P",I307,IF(L307="L",0,IF(G307&lt;0,I307+I307*100/ABS(G307),I307+I307*G307/100))))</f>
        <v/>
      </c>
      <c r="N307" s="146">
        <f>IF(OR(L307="",L307="PENDING"),"",IF(L307="P",0,IF(L307="L",-J307,IF(G307&lt;0,J307*100/ABS(G307),J307*G307/100))))</f>
        <v/>
      </c>
      <c r="O307" s="145">
        <f>IF(OR(L307="",L307="PENDING"),"",IF(L307="P",0,M307-I307))</f>
        <v/>
      </c>
    </row>
    <row r="308" ht="18" customHeight="1" s="91">
      <c r="A308" s="131">
        <f>IF(C308="","",ROW()-7)</f>
        <v/>
      </c>
      <c r="B308" s="132" t="n"/>
      <c r="C308" s="132" t="n"/>
      <c r="D308" s="133" t="n"/>
      <c r="E308" s="133" t="n"/>
      <c r="F308" s="132" t="n"/>
      <c r="G308" s="134" t="n"/>
      <c r="H308" s="132" t="n"/>
      <c r="I308" s="135" t="n"/>
      <c r="J308" s="136" t="n"/>
      <c r="K308" s="132" t="n"/>
      <c r="L308" s="132" t="n"/>
      <c r="M308" s="137">
        <f>IF(OR(L308="",L308="PENDING"),"",IF(L308="P",I308,IF(L308="L",0,IF(G308&lt;0,I308+I308*100/ABS(G308),I308+I308*G308/100))))</f>
        <v/>
      </c>
      <c r="N308" s="138">
        <f>IF(OR(L308="",L308="PENDING"),"",IF(L308="P",0,IF(L308="L",-J308,IF(G308&lt;0,J308*100/ABS(G308),J308*G308/100))))</f>
        <v/>
      </c>
      <c r="O308" s="137">
        <f>IF(OR(L308="",L308="PENDING"),"",IF(L308="P",0,M308-I308))</f>
        <v/>
      </c>
    </row>
    <row r="309" ht="18" customHeight="1" s="91">
      <c r="A309" s="139">
        <f>IF(C309="","",ROW()-7)</f>
        <v/>
      </c>
      <c r="B309" s="140" t="n"/>
      <c r="C309" s="140" t="n"/>
      <c r="D309" s="141" t="n"/>
      <c r="E309" s="141" t="n"/>
      <c r="F309" s="140" t="n"/>
      <c r="G309" s="142" t="n"/>
      <c r="H309" s="140" t="n"/>
      <c r="I309" s="143" t="n"/>
      <c r="J309" s="144" t="n"/>
      <c r="K309" s="140" t="n"/>
      <c r="L309" s="140" t="n"/>
      <c r="M309" s="145">
        <f>IF(OR(L309="",L309="PENDING"),"",IF(L309="P",I309,IF(L309="L",0,IF(G309&lt;0,I309+I309*100/ABS(G309),I309+I309*G309/100))))</f>
        <v/>
      </c>
      <c r="N309" s="146">
        <f>IF(OR(L309="",L309="PENDING"),"",IF(L309="P",0,IF(L309="L",-J309,IF(G309&lt;0,J309*100/ABS(G309),J309*G309/100))))</f>
        <v/>
      </c>
      <c r="O309" s="145">
        <f>IF(OR(L309="",L309="PENDING"),"",IF(L309="P",0,M309-I309))</f>
        <v/>
      </c>
    </row>
    <row r="310" ht="18" customHeight="1" s="91">
      <c r="A310" s="131">
        <f>IF(C310="","",ROW()-7)</f>
        <v/>
      </c>
      <c r="B310" s="132" t="n"/>
      <c r="C310" s="132" t="n"/>
      <c r="D310" s="133" t="n"/>
      <c r="E310" s="133" t="n"/>
      <c r="F310" s="132" t="n"/>
      <c r="G310" s="134" t="n"/>
      <c r="H310" s="132" t="n"/>
      <c r="I310" s="135" t="n"/>
      <c r="J310" s="136" t="n"/>
      <c r="K310" s="132" t="n"/>
      <c r="L310" s="132" t="n"/>
      <c r="M310" s="137">
        <f>IF(OR(L310="",L310="PENDING"),"",IF(L310="P",I310,IF(L310="L",0,IF(G310&lt;0,I310+I310*100/ABS(G310),I310+I310*G310/100))))</f>
        <v/>
      </c>
      <c r="N310" s="138">
        <f>IF(OR(L310="",L310="PENDING"),"",IF(L310="P",0,IF(L310="L",-J310,IF(G310&lt;0,J310*100/ABS(G310),J310*G310/100))))</f>
        <v/>
      </c>
      <c r="O310" s="137">
        <f>IF(OR(L310="",L310="PENDING"),"",IF(L310="P",0,M310-I310))</f>
        <v/>
      </c>
    </row>
    <row r="311" ht="18" customHeight="1" s="91">
      <c r="A311" s="139">
        <f>IF(C311="","",ROW()-7)</f>
        <v/>
      </c>
      <c r="B311" s="140" t="n"/>
      <c r="C311" s="140" t="n"/>
      <c r="D311" s="141" t="n"/>
      <c r="E311" s="141" t="n"/>
      <c r="F311" s="140" t="n"/>
      <c r="G311" s="142" t="n"/>
      <c r="H311" s="140" t="n"/>
      <c r="I311" s="143" t="n"/>
      <c r="J311" s="144" t="n"/>
      <c r="K311" s="140" t="n"/>
      <c r="L311" s="140" t="n"/>
      <c r="M311" s="145">
        <f>IF(OR(L311="",L311="PENDING"),"",IF(L311="P",I311,IF(L311="L",0,IF(G311&lt;0,I311+I311*100/ABS(G311),I311+I311*G311/100))))</f>
        <v/>
      </c>
      <c r="N311" s="146">
        <f>IF(OR(L311="",L311="PENDING"),"",IF(L311="P",0,IF(L311="L",-J311,IF(G311&lt;0,J311*100/ABS(G311),J311*G311/100))))</f>
        <v/>
      </c>
      <c r="O311" s="145">
        <f>IF(OR(L311="",L311="PENDING"),"",IF(L311="P",0,M311-I311))</f>
        <v/>
      </c>
    </row>
    <row r="312" ht="18" customHeight="1" s="91">
      <c r="A312" s="131">
        <f>IF(C312="","",ROW()-7)</f>
        <v/>
      </c>
      <c r="B312" s="132" t="n"/>
      <c r="C312" s="132" t="n"/>
      <c r="D312" s="133" t="n"/>
      <c r="E312" s="133" t="n"/>
      <c r="F312" s="132" t="n"/>
      <c r="G312" s="134" t="n"/>
      <c r="H312" s="132" t="n"/>
      <c r="I312" s="135" t="n"/>
      <c r="J312" s="136" t="n"/>
      <c r="K312" s="132" t="n"/>
      <c r="L312" s="132" t="n"/>
      <c r="M312" s="137">
        <f>IF(OR(L312="",L312="PENDING"),"",IF(L312="P",I312,IF(L312="L",0,IF(G312&lt;0,I312+I312*100/ABS(G312),I312+I312*G312/100))))</f>
        <v/>
      </c>
      <c r="N312" s="138">
        <f>IF(OR(L312="",L312="PENDING"),"",IF(L312="P",0,IF(L312="L",-J312,IF(G312&lt;0,J312*100/ABS(G312),J312*G312/100))))</f>
        <v/>
      </c>
      <c r="O312" s="137">
        <f>IF(OR(L312="",L312="PENDING"),"",IF(L312="P",0,M312-I312))</f>
        <v/>
      </c>
    </row>
    <row r="313" ht="18" customHeight="1" s="91">
      <c r="A313" s="139">
        <f>IF(C313="","",ROW()-7)</f>
        <v/>
      </c>
      <c r="B313" s="140" t="n"/>
      <c r="C313" s="140" t="n"/>
      <c r="D313" s="141" t="n"/>
      <c r="E313" s="141" t="n"/>
      <c r="F313" s="140" t="n"/>
      <c r="G313" s="142" t="n"/>
      <c r="H313" s="140" t="n"/>
      <c r="I313" s="143" t="n"/>
      <c r="J313" s="144" t="n"/>
      <c r="K313" s="140" t="n"/>
      <c r="L313" s="140" t="n"/>
      <c r="M313" s="145">
        <f>IF(OR(L313="",L313="PENDING"),"",IF(L313="P",I313,IF(L313="L",0,IF(G313&lt;0,I313+I313*100/ABS(G313),I313+I313*G313/100))))</f>
        <v/>
      </c>
      <c r="N313" s="146">
        <f>IF(OR(L313="",L313="PENDING"),"",IF(L313="P",0,IF(L313="L",-J313,IF(G313&lt;0,J313*100/ABS(G313),J313*G313/100))))</f>
        <v/>
      </c>
      <c r="O313" s="145">
        <f>IF(OR(L313="",L313="PENDING"),"",IF(L313="P",0,M313-I313))</f>
        <v/>
      </c>
    </row>
    <row r="314" ht="18" customHeight="1" s="91">
      <c r="A314" s="131">
        <f>IF(C314="","",ROW()-7)</f>
        <v/>
      </c>
      <c r="B314" s="132" t="n"/>
      <c r="C314" s="132" t="n"/>
      <c r="D314" s="133" t="n"/>
      <c r="E314" s="133" t="n"/>
      <c r="F314" s="132" t="n"/>
      <c r="G314" s="134" t="n"/>
      <c r="H314" s="132" t="n"/>
      <c r="I314" s="135" t="n"/>
      <c r="J314" s="136" t="n"/>
      <c r="K314" s="132" t="n"/>
      <c r="L314" s="132" t="n"/>
      <c r="M314" s="137">
        <f>IF(OR(L314="",L314="PENDING"),"",IF(L314="P",I314,IF(L314="L",0,IF(G314&lt;0,I314+I314*100/ABS(G314),I314+I314*G314/100))))</f>
        <v/>
      </c>
      <c r="N314" s="138">
        <f>IF(OR(L314="",L314="PENDING"),"",IF(L314="P",0,IF(L314="L",-J314,IF(G314&lt;0,J314*100/ABS(G314),J314*G314/100))))</f>
        <v/>
      </c>
      <c r="O314" s="137">
        <f>IF(OR(L314="",L314="PENDING"),"",IF(L314="P",0,M314-I314))</f>
        <v/>
      </c>
    </row>
    <row r="315" ht="18" customHeight="1" s="91">
      <c r="A315" s="139">
        <f>IF(C315="","",ROW()-7)</f>
        <v/>
      </c>
      <c r="B315" s="140" t="n"/>
      <c r="C315" s="140" t="n"/>
      <c r="D315" s="141" t="n"/>
      <c r="E315" s="141" t="n"/>
      <c r="F315" s="140" t="n"/>
      <c r="G315" s="142" t="n"/>
      <c r="H315" s="140" t="n"/>
      <c r="I315" s="143" t="n"/>
      <c r="J315" s="144" t="n"/>
      <c r="K315" s="140" t="n"/>
      <c r="L315" s="140" t="n"/>
      <c r="M315" s="145">
        <f>IF(OR(L315="",L315="PENDING"),"",IF(L315="P",I315,IF(L315="L",0,IF(G315&lt;0,I315+I315*100/ABS(G315),I315+I315*G315/100))))</f>
        <v/>
      </c>
      <c r="N315" s="146">
        <f>IF(OR(L315="",L315="PENDING"),"",IF(L315="P",0,IF(L315="L",-J315,IF(G315&lt;0,J315*100/ABS(G315),J315*G315/100))))</f>
        <v/>
      </c>
      <c r="O315" s="145">
        <f>IF(OR(L315="",L315="PENDING"),"",IF(L315="P",0,M315-I315))</f>
        <v/>
      </c>
    </row>
    <row r="316" ht="18" customHeight="1" s="91">
      <c r="A316" s="131">
        <f>IF(C316="","",ROW()-7)</f>
        <v/>
      </c>
      <c r="B316" s="132" t="n"/>
      <c r="C316" s="132" t="n"/>
      <c r="D316" s="133" t="n"/>
      <c r="E316" s="133" t="n"/>
      <c r="F316" s="132" t="n"/>
      <c r="G316" s="134" t="n"/>
      <c r="H316" s="132" t="n"/>
      <c r="I316" s="135" t="n"/>
      <c r="J316" s="136" t="n"/>
      <c r="K316" s="132" t="n"/>
      <c r="L316" s="132" t="n"/>
      <c r="M316" s="137">
        <f>IF(OR(L316="",L316="PENDING"),"",IF(L316="P",I316,IF(L316="L",0,IF(G316&lt;0,I316+I316*100/ABS(G316),I316+I316*G316/100))))</f>
        <v/>
      </c>
      <c r="N316" s="138">
        <f>IF(OR(L316="",L316="PENDING"),"",IF(L316="P",0,IF(L316="L",-J316,IF(G316&lt;0,J316*100/ABS(G316),J316*G316/100))))</f>
        <v/>
      </c>
      <c r="O316" s="137">
        <f>IF(OR(L316="",L316="PENDING"),"",IF(L316="P",0,M316-I316))</f>
        <v/>
      </c>
    </row>
    <row r="317" ht="18" customHeight="1" s="91">
      <c r="A317" s="139">
        <f>IF(C317="","",ROW()-7)</f>
        <v/>
      </c>
      <c r="B317" s="140" t="n"/>
      <c r="C317" s="140" t="n"/>
      <c r="D317" s="141" t="n"/>
      <c r="E317" s="141" t="n"/>
      <c r="F317" s="140" t="n"/>
      <c r="G317" s="142" t="n"/>
      <c r="H317" s="140" t="n"/>
      <c r="I317" s="143" t="n"/>
      <c r="J317" s="144" t="n"/>
      <c r="K317" s="140" t="n"/>
      <c r="L317" s="140" t="n"/>
      <c r="M317" s="145">
        <f>IF(OR(L317="",L317="PENDING"),"",IF(L317="P",I317,IF(L317="L",0,IF(G317&lt;0,I317+I317*100/ABS(G317),I317+I317*G317/100))))</f>
        <v/>
      </c>
      <c r="N317" s="146">
        <f>IF(OR(L317="",L317="PENDING"),"",IF(L317="P",0,IF(L317="L",-J317,IF(G317&lt;0,J317*100/ABS(G317),J317*G317/100))))</f>
        <v/>
      </c>
      <c r="O317" s="145">
        <f>IF(OR(L317="",L317="PENDING"),"",IF(L317="P",0,M317-I317))</f>
        <v/>
      </c>
    </row>
    <row r="318" ht="18" customHeight="1" s="91">
      <c r="A318" s="131">
        <f>IF(C318="","",ROW()-7)</f>
        <v/>
      </c>
      <c r="B318" s="132" t="n"/>
      <c r="C318" s="132" t="n"/>
      <c r="D318" s="133" t="n"/>
      <c r="E318" s="133" t="n"/>
      <c r="F318" s="132" t="n"/>
      <c r="G318" s="134" t="n"/>
      <c r="H318" s="132" t="n"/>
      <c r="I318" s="135" t="n"/>
      <c r="J318" s="136" t="n"/>
      <c r="K318" s="132" t="n"/>
      <c r="L318" s="132" t="n"/>
      <c r="M318" s="137">
        <f>IF(OR(L318="",L318="PENDING"),"",IF(L318="P",I318,IF(L318="L",0,IF(G318&lt;0,I318+I318*100/ABS(G318),I318+I318*G318/100))))</f>
        <v/>
      </c>
      <c r="N318" s="138">
        <f>IF(OR(L318="",L318="PENDING"),"",IF(L318="P",0,IF(L318="L",-J318,IF(G318&lt;0,J318*100/ABS(G318),J318*G318/100))))</f>
        <v/>
      </c>
      <c r="O318" s="137">
        <f>IF(OR(L318="",L318="PENDING"),"",IF(L318="P",0,M318-I318))</f>
        <v/>
      </c>
    </row>
    <row r="319" ht="18" customHeight="1" s="91">
      <c r="A319" s="139">
        <f>IF(C319="","",ROW()-7)</f>
        <v/>
      </c>
      <c r="B319" s="140" t="n"/>
      <c r="C319" s="140" t="n"/>
      <c r="D319" s="141" t="n"/>
      <c r="E319" s="141" t="n"/>
      <c r="F319" s="140" t="n"/>
      <c r="G319" s="142" t="n"/>
      <c r="H319" s="140" t="n"/>
      <c r="I319" s="143" t="n"/>
      <c r="J319" s="144" t="n"/>
      <c r="K319" s="140" t="n"/>
      <c r="L319" s="140" t="n"/>
      <c r="M319" s="145">
        <f>IF(OR(L319="",L319="PENDING"),"",IF(L319="P",I319,IF(L319="L",0,IF(G319&lt;0,I319+I319*100/ABS(G319),I319+I319*G319/100))))</f>
        <v/>
      </c>
      <c r="N319" s="146">
        <f>IF(OR(L319="",L319="PENDING"),"",IF(L319="P",0,IF(L319="L",-J319,IF(G319&lt;0,J319*100/ABS(G319),J319*G319/100))))</f>
        <v/>
      </c>
      <c r="O319" s="145">
        <f>IF(OR(L319="",L319="PENDING"),"",IF(L319="P",0,M319-I319))</f>
        <v/>
      </c>
    </row>
    <row r="320" ht="18" customHeight="1" s="91">
      <c r="A320" s="131">
        <f>IF(C320="","",ROW()-7)</f>
        <v/>
      </c>
      <c r="B320" s="132" t="n"/>
      <c r="C320" s="132" t="n"/>
      <c r="D320" s="133" t="n"/>
      <c r="E320" s="133" t="n"/>
      <c r="F320" s="132" t="n"/>
      <c r="G320" s="134" t="n"/>
      <c r="H320" s="132" t="n"/>
      <c r="I320" s="135" t="n"/>
      <c r="J320" s="136" t="n"/>
      <c r="K320" s="132" t="n"/>
      <c r="L320" s="132" t="n"/>
      <c r="M320" s="137">
        <f>IF(OR(L320="",L320="PENDING"),"",IF(L320="P",I320,IF(L320="L",0,IF(G320&lt;0,I320+I320*100/ABS(G320),I320+I320*G320/100))))</f>
        <v/>
      </c>
      <c r="N320" s="138">
        <f>IF(OR(L320="",L320="PENDING"),"",IF(L320="P",0,IF(L320="L",-J320,IF(G320&lt;0,J320*100/ABS(G320),J320*G320/100))))</f>
        <v/>
      </c>
      <c r="O320" s="137">
        <f>IF(OR(L320="",L320="PENDING"),"",IF(L320="P",0,M320-I320))</f>
        <v/>
      </c>
    </row>
    <row r="321" ht="18" customHeight="1" s="91">
      <c r="A321" s="139">
        <f>IF(C321="","",ROW()-7)</f>
        <v/>
      </c>
      <c r="B321" s="140" t="n"/>
      <c r="C321" s="140" t="n"/>
      <c r="D321" s="141" t="n"/>
      <c r="E321" s="141" t="n"/>
      <c r="F321" s="140" t="n"/>
      <c r="G321" s="142" t="n"/>
      <c r="H321" s="140" t="n"/>
      <c r="I321" s="143" t="n"/>
      <c r="J321" s="144" t="n"/>
      <c r="K321" s="140" t="n"/>
      <c r="L321" s="140" t="n"/>
      <c r="M321" s="145">
        <f>IF(OR(L321="",L321="PENDING"),"",IF(L321="P",I321,IF(L321="L",0,IF(G321&lt;0,I321+I321*100/ABS(G321),I321+I321*G321/100))))</f>
        <v/>
      </c>
      <c r="N321" s="146">
        <f>IF(OR(L321="",L321="PENDING"),"",IF(L321="P",0,IF(L321="L",-J321,IF(G321&lt;0,J321*100/ABS(G321),J321*G321/100))))</f>
        <v/>
      </c>
      <c r="O321" s="145">
        <f>IF(OR(L321="",L321="PENDING"),"",IF(L321="P",0,M321-I321))</f>
        <v/>
      </c>
    </row>
    <row r="322" ht="18" customHeight="1" s="91">
      <c r="A322" s="131">
        <f>IF(C322="","",ROW()-7)</f>
        <v/>
      </c>
      <c r="B322" s="132" t="n"/>
      <c r="C322" s="132" t="n"/>
      <c r="D322" s="133" t="n"/>
      <c r="E322" s="133" t="n"/>
      <c r="F322" s="132" t="n"/>
      <c r="G322" s="134" t="n"/>
      <c r="H322" s="132" t="n"/>
      <c r="I322" s="135" t="n"/>
      <c r="J322" s="136" t="n"/>
      <c r="K322" s="132" t="n"/>
      <c r="L322" s="132" t="n"/>
      <c r="M322" s="137">
        <f>IF(OR(L322="",L322="PENDING"),"",IF(L322="P",I322,IF(L322="L",0,IF(G322&lt;0,I322+I322*100/ABS(G322),I322+I322*G322/100))))</f>
        <v/>
      </c>
      <c r="N322" s="138">
        <f>IF(OR(L322="",L322="PENDING"),"",IF(L322="P",0,IF(L322="L",-J322,IF(G322&lt;0,J322*100/ABS(G322),J322*G322/100))))</f>
        <v/>
      </c>
      <c r="O322" s="137">
        <f>IF(OR(L322="",L322="PENDING"),"",IF(L322="P",0,M322-I322))</f>
        <v/>
      </c>
    </row>
    <row r="323" ht="18" customHeight="1" s="91">
      <c r="A323" s="139">
        <f>IF(C323="","",ROW()-7)</f>
        <v/>
      </c>
      <c r="B323" s="140" t="n"/>
      <c r="C323" s="140" t="n"/>
      <c r="D323" s="141" t="n"/>
      <c r="E323" s="141" t="n"/>
      <c r="F323" s="140" t="n"/>
      <c r="G323" s="142" t="n"/>
      <c r="H323" s="140" t="n"/>
      <c r="I323" s="143" t="n"/>
      <c r="J323" s="144" t="n"/>
      <c r="K323" s="140" t="n"/>
      <c r="L323" s="140" t="n"/>
      <c r="M323" s="145">
        <f>IF(OR(L323="",L323="PENDING"),"",IF(L323="P",I323,IF(L323="L",0,IF(G323&lt;0,I323+I323*100/ABS(G323),I323+I323*G323/100))))</f>
        <v/>
      </c>
      <c r="N323" s="146">
        <f>IF(OR(L323="",L323="PENDING"),"",IF(L323="P",0,IF(L323="L",-J323,IF(G323&lt;0,J323*100/ABS(G323),J323*G323/100))))</f>
        <v/>
      </c>
      <c r="O323" s="145">
        <f>IF(OR(L323="",L323="PENDING"),"",IF(L323="P",0,M323-I323))</f>
        <v/>
      </c>
    </row>
    <row r="324" ht="18" customHeight="1" s="91">
      <c r="A324" s="131">
        <f>IF(C324="","",ROW()-7)</f>
        <v/>
      </c>
      <c r="B324" s="132" t="n"/>
      <c r="C324" s="132" t="n"/>
      <c r="D324" s="133" t="n"/>
      <c r="E324" s="133" t="n"/>
      <c r="F324" s="132" t="n"/>
      <c r="G324" s="134" t="n"/>
      <c r="H324" s="132" t="n"/>
      <c r="I324" s="135" t="n"/>
      <c r="J324" s="136" t="n"/>
      <c r="K324" s="132" t="n"/>
      <c r="L324" s="132" t="n"/>
      <c r="M324" s="137">
        <f>IF(OR(L324="",L324="PENDING"),"",IF(L324="P",I324,IF(L324="L",0,IF(G324&lt;0,I324+I324*100/ABS(G324),I324+I324*G324/100))))</f>
        <v/>
      </c>
      <c r="N324" s="138">
        <f>IF(OR(L324="",L324="PENDING"),"",IF(L324="P",0,IF(L324="L",-J324,IF(G324&lt;0,J324*100/ABS(G324),J324*G324/100))))</f>
        <v/>
      </c>
      <c r="O324" s="137">
        <f>IF(OR(L324="",L324="PENDING"),"",IF(L324="P",0,M324-I324))</f>
        <v/>
      </c>
    </row>
    <row r="325" ht="18" customHeight="1" s="91">
      <c r="A325" s="139">
        <f>IF(C325="","",ROW()-7)</f>
        <v/>
      </c>
      <c r="B325" s="140" t="n"/>
      <c r="C325" s="140" t="n"/>
      <c r="D325" s="141" t="n"/>
      <c r="E325" s="141" t="n"/>
      <c r="F325" s="140" t="n"/>
      <c r="G325" s="142" t="n"/>
      <c r="H325" s="140" t="n"/>
      <c r="I325" s="143" t="n"/>
      <c r="J325" s="144" t="n"/>
      <c r="K325" s="140" t="n"/>
      <c r="L325" s="140" t="n"/>
      <c r="M325" s="145">
        <f>IF(OR(L325="",L325="PENDING"),"",IF(L325="P",I325,IF(L325="L",0,IF(G325&lt;0,I325+I325*100/ABS(G325),I325+I325*G325/100))))</f>
        <v/>
      </c>
      <c r="N325" s="146">
        <f>IF(OR(L325="",L325="PENDING"),"",IF(L325="P",0,IF(L325="L",-J325,IF(G325&lt;0,J325*100/ABS(G325),J325*G325/100))))</f>
        <v/>
      </c>
      <c r="O325" s="145">
        <f>IF(OR(L325="",L325="PENDING"),"",IF(L325="P",0,M325-I325))</f>
        <v/>
      </c>
    </row>
    <row r="326" ht="18" customHeight="1" s="91">
      <c r="A326" s="131">
        <f>IF(C326="","",ROW()-7)</f>
        <v/>
      </c>
      <c r="B326" s="132" t="n"/>
      <c r="C326" s="132" t="n"/>
      <c r="D326" s="133" t="n"/>
      <c r="E326" s="133" t="n"/>
      <c r="F326" s="132" t="n"/>
      <c r="G326" s="134" t="n"/>
      <c r="H326" s="132" t="n"/>
      <c r="I326" s="135" t="n"/>
      <c r="J326" s="136" t="n"/>
      <c r="K326" s="132" t="n"/>
      <c r="L326" s="132" t="n"/>
      <c r="M326" s="137">
        <f>IF(OR(L326="",L326="PENDING"),"",IF(L326="P",I326,IF(L326="L",0,IF(G326&lt;0,I326+I326*100/ABS(G326),I326+I326*G326/100))))</f>
        <v/>
      </c>
      <c r="N326" s="138">
        <f>IF(OR(L326="",L326="PENDING"),"",IF(L326="P",0,IF(L326="L",-J326,IF(G326&lt;0,J326*100/ABS(G326),J326*G326/100))))</f>
        <v/>
      </c>
      <c r="O326" s="137">
        <f>IF(OR(L326="",L326="PENDING"),"",IF(L326="P",0,M326-I326))</f>
        <v/>
      </c>
    </row>
    <row r="327" ht="18" customHeight="1" s="91">
      <c r="A327" s="139">
        <f>IF(C327="","",ROW()-7)</f>
        <v/>
      </c>
      <c r="B327" s="140" t="n"/>
      <c r="C327" s="140" t="n"/>
      <c r="D327" s="141" t="n"/>
      <c r="E327" s="141" t="n"/>
      <c r="F327" s="140" t="n"/>
      <c r="G327" s="142" t="n"/>
      <c r="H327" s="140" t="n"/>
      <c r="I327" s="143" t="n"/>
      <c r="J327" s="144" t="n"/>
      <c r="K327" s="140" t="n"/>
      <c r="L327" s="140" t="n"/>
      <c r="M327" s="145">
        <f>IF(OR(L327="",L327="PENDING"),"",IF(L327="P",I327,IF(L327="L",0,IF(G327&lt;0,I327+I327*100/ABS(G327),I327+I327*G327/100))))</f>
        <v/>
      </c>
      <c r="N327" s="146">
        <f>IF(OR(L327="",L327="PENDING"),"",IF(L327="P",0,IF(L327="L",-J327,IF(G327&lt;0,J327*100/ABS(G327),J327*G327/100))))</f>
        <v/>
      </c>
      <c r="O327" s="145">
        <f>IF(OR(L327="",L327="PENDING"),"",IF(L327="P",0,M327-I327))</f>
        <v/>
      </c>
    </row>
    <row r="328" ht="18" customHeight="1" s="91">
      <c r="A328" s="131">
        <f>IF(C328="","",ROW()-7)</f>
        <v/>
      </c>
      <c r="B328" s="132" t="n"/>
      <c r="C328" s="132" t="n"/>
      <c r="D328" s="133" t="n"/>
      <c r="E328" s="133" t="n"/>
      <c r="F328" s="132" t="n"/>
      <c r="G328" s="134" t="n"/>
      <c r="H328" s="132" t="n"/>
      <c r="I328" s="135" t="n"/>
      <c r="J328" s="136" t="n"/>
      <c r="K328" s="132" t="n"/>
      <c r="L328" s="132" t="n"/>
      <c r="M328" s="137">
        <f>IF(OR(L328="",L328="PENDING"),"",IF(L328="P",I328,IF(L328="L",0,IF(G328&lt;0,I328+I328*100/ABS(G328),I328+I328*G328/100))))</f>
        <v/>
      </c>
      <c r="N328" s="138">
        <f>IF(OR(L328="",L328="PENDING"),"",IF(L328="P",0,IF(L328="L",-J328,IF(G328&lt;0,J328*100/ABS(G328),J328*G328/100))))</f>
        <v/>
      </c>
      <c r="O328" s="137">
        <f>IF(OR(L328="",L328="PENDING"),"",IF(L328="P",0,M328-I328))</f>
        <v/>
      </c>
    </row>
    <row r="329" ht="18" customHeight="1" s="91">
      <c r="A329" s="139">
        <f>IF(C329="","",ROW()-7)</f>
        <v/>
      </c>
      <c r="B329" s="140" t="n"/>
      <c r="C329" s="140" t="n"/>
      <c r="D329" s="141" t="n"/>
      <c r="E329" s="141" t="n"/>
      <c r="F329" s="140" t="n"/>
      <c r="G329" s="142" t="n"/>
      <c r="H329" s="140" t="n"/>
      <c r="I329" s="143" t="n"/>
      <c r="J329" s="144" t="n"/>
      <c r="K329" s="140" t="n"/>
      <c r="L329" s="140" t="n"/>
      <c r="M329" s="145">
        <f>IF(OR(L329="",L329="PENDING"),"",IF(L329="P",I329,IF(L329="L",0,IF(G329&lt;0,I329+I329*100/ABS(G329),I329+I329*G329/100))))</f>
        <v/>
      </c>
      <c r="N329" s="146">
        <f>IF(OR(L329="",L329="PENDING"),"",IF(L329="P",0,IF(L329="L",-J329,IF(G329&lt;0,J329*100/ABS(G329),J329*G329/100))))</f>
        <v/>
      </c>
      <c r="O329" s="145">
        <f>IF(OR(L329="",L329="PENDING"),"",IF(L329="P",0,M329-I329))</f>
        <v/>
      </c>
    </row>
    <row r="330" ht="18" customHeight="1" s="91">
      <c r="A330" s="131">
        <f>IF(C330="","",ROW()-7)</f>
        <v/>
      </c>
      <c r="B330" s="132" t="n"/>
      <c r="C330" s="132" t="n"/>
      <c r="D330" s="133" t="n"/>
      <c r="E330" s="133" t="n"/>
      <c r="F330" s="132" t="n"/>
      <c r="G330" s="134" t="n"/>
      <c r="H330" s="132" t="n"/>
      <c r="I330" s="135" t="n"/>
      <c r="J330" s="136" t="n"/>
      <c r="K330" s="132" t="n"/>
      <c r="L330" s="132" t="n"/>
      <c r="M330" s="137">
        <f>IF(OR(L330="",L330="PENDING"),"",IF(L330="P",I330,IF(L330="L",0,IF(G330&lt;0,I330+I330*100/ABS(G330),I330+I330*G330/100))))</f>
        <v/>
      </c>
      <c r="N330" s="138">
        <f>IF(OR(L330="",L330="PENDING"),"",IF(L330="P",0,IF(L330="L",-J330,IF(G330&lt;0,J330*100/ABS(G330),J330*G330/100))))</f>
        <v/>
      </c>
      <c r="O330" s="137">
        <f>IF(OR(L330="",L330="PENDING"),"",IF(L330="P",0,M330-I330))</f>
        <v/>
      </c>
    </row>
    <row r="331" ht="18" customHeight="1" s="91">
      <c r="A331" s="139">
        <f>IF(C331="","",ROW()-7)</f>
        <v/>
      </c>
      <c r="B331" s="140" t="n"/>
      <c r="C331" s="140" t="n"/>
      <c r="D331" s="141" t="n"/>
      <c r="E331" s="141" t="n"/>
      <c r="F331" s="140" t="n"/>
      <c r="G331" s="142" t="n"/>
      <c r="H331" s="140" t="n"/>
      <c r="I331" s="143" t="n"/>
      <c r="J331" s="144" t="n"/>
      <c r="K331" s="140" t="n"/>
      <c r="L331" s="140" t="n"/>
      <c r="M331" s="145">
        <f>IF(OR(L331="",L331="PENDING"),"",IF(L331="P",I331,IF(L331="L",0,IF(G331&lt;0,I331+I331*100/ABS(G331),I331+I331*G331/100))))</f>
        <v/>
      </c>
      <c r="N331" s="146">
        <f>IF(OR(L331="",L331="PENDING"),"",IF(L331="P",0,IF(L331="L",-J331,IF(G331&lt;0,J331*100/ABS(G331),J331*G331/100))))</f>
        <v/>
      </c>
      <c r="O331" s="145">
        <f>IF(OR(L331="",L331="PENDING"),"",IF(L331="P",0,M331-I331))</f>
        <v/>
      </c>
    </row>
    <row r="332" ht="18" customHeight="1" s="91">
      <c r="A332" s="131">
        <f>IF(C332="","",ROW()-7)</f>
        <v/>
      </c>
      <c r="B332" s="132" t="n"/>
      <c r="C332" s="132" t="n"/>
      <c r="D332" s="133" t="n"/>
      <c r="E332" s="133" t="n"/>
      <c r="F332" s="132" t="n"/>
      <c r="G332" s="134" t="n"/>
      <c r="H332" s="132" t="n"/>
      <c r="I332" s="135" t="n"/>
      <c r="J332" s="136" t="n"/>
      <c r="K332" s="132" t="n"/>
      <c r="L332" s="132" t="n"/>
      <c r="M332" s="137">
        <f>IF(OR(L332="",L332="PENDING"),"",IF(L332="P",I332,IF(L332="L",0,IF(G332&lt;0,I332+I332*100/ABS(G332),I332+I332*G332/100))))</f>
        <v/>
      </c>
      <c r="N332" s="138">
        <f>IF(OR(L332="",L332="PENDING"),"",IF(L332="P",0,IF(L332="L",-J332,IF(G332&lt;0,J332*100/ABS(G332),J332*G332/100))))</f>
        <v/>
      </c>
      <c r="O332" s="137">
        <f>IF(OR(L332="",L332="PENDING"),"",IF(L332="P",0,M332-I332))</f>
        <v/>
      </c>
    </row>
    <row r="333" ht="18" customHeight="1" s="91">
      <c r="A333" s="139">
        <f>IF(C333="","",ROW()-7)</f>
        <v/>
      </c>
      <c r="B333" s="140" t="n"/>
      <c r="C333" s="140" t="n"/>
      <c r="D333" s="141" t="n"/>
      <c r="E333" s="141" t="n"/>
      <c r="F333" s="140" t="n"/>
      <c r="G333" s="142" t="n"/>
      <c r="H333" s="140" t="n"/>
      <c r="I333" s="143" t="n"/>
      <c r="J333" s="144" t="n"/>
      <c r="K333" s="140" t="n"/>
      <c r="L333" s="140" t="n"/>
      <c r="M333" s="145">
        <f>IF(OR(L333="",L333="PENDING"),"",IF(L333="P",I333,IF(L333="L",0,IF(G333&lt;0,I333+I333*100/ABS(G333),I333+I333*G333/100))))</f>
        <v/>
      </c>
      <c r="N333" s="146">
        <f>IF(OR(L333="",L333="PENDING"),"",IF(L333="P",0,IF(L333="L",-J333,IF(G333&lt;0,J333*100/ABS(G333),J333*G333/100))))</f>
        <v/>
      </c>
      <c r="O333" s="145">
        <f>IF(OR(L333="",L333="PENDING"),"",IF(L333="P",0,M333-I333))</f>
        <v/>
      </c>
    </row>
    <row r="334" ht="18" customHeight="1" s="91">
      <c r="A334" s="131">
        <f>IF(C334="","",ROW()-7)</f>
        <v/>
      </c>
      <c r="B334" s="132" t="n"/>
      <c r="C334" s="132" t="n"/>
      <c r="D334" s="133" t="n"/>
      <c r="E334" s="133" t="n"/>
      <c r="F334" s="132" t="n"/>
      <c r="G334" s="134" t="n"/>
      <c r="H334" s="132" t="n"/>
      <c r="I334" s="135" t="n"/>
      <c r="J334" s="136" t="n"/>
      <c r="K334" s="132" t="n"/>
      <c r="L334" s="132" t="n"/>
      <c r="M334" s="137">
        <f>IF(OR(L334="",L334="PENDING"),"",IF(L334="P",I334,IF(L334="L",0,IF(G334&lt;0,I334+I334*100/ABS(G334),I334+I334*G334/100))))</f>
        <v/>
      </c>
      <c r="N334" s="138">
        <f>IF(OR(L334="",L334="PENDING"),"",IF(L334="P",0,IF(L334="L",-J334,IF(G334&lt;0,J334*100/ABS(G334),J334*G334/100))))</f>
        <v/>
      </c>
      <c r="O334" s="137">
        <f>IF(OR(L334="",L334="PENDING"),"",IF(L334="P",0,M334-I334))</f>
        <v/>
      </c>
    </row>
    <row r="335" ht="18" customHeight="1" s="91">
      <c r="A335" s="139">
        <f>IF(C335="","",ROW()-7)</f>
        <v/>
      </c>
      <c r="B335" s="140" t="n"/>
      <c r="C335" s="140" t="n"/>
      <c r="D335" s="141" t="n"/>
      <c r="E335" s="141" t="n"/>
      <c r="F335" s="140" t="n"/>
      <c r="G335" s="142" t="n"/>
      <c r="H335" s="140" t="n"/>
      <c r="I335" s="143" t="n"/>
      <c r="J335" s="144" t="n"/>
      <c r="K335" s="140" t="n"/>
      <c r="L335" s="140" t="n"/>
      <c r="M335" s="145">
        <f>IF(OR(L335="",L335="PENDING"),"",IF(L335="P",I335,IF(L335="L",0,IF(G335&lt;0,I335+I335*100/ABS(G335),I335+I335*G335/100))))</f>
        <v/>
      </c>
      <c r="N335" s="146">
        <f>IF(OR(L335="",L335="PENDING"),"",IF(L335="P",0,IF(L335="L",-J335,IF(G335&lt;0,J335*100/ABS(G335),J335*G335/100))))</f>
        <v/>
      </c>
      <c r="O335" s="145">
        <f>IF(OR(L335="",L335="PENDING"),"",IF(L335="P",0,M335-I335))</f>
        <v/>
      </c>
    </row>
    <row r="336" ht="18" customHeight="1" s="91">
      <c r="A336" s="131">
        <f>IF(C336="","",ROW()-7)</f>
        <v/>
      </c>
      <c r="B336" s="132" t="n"/>
      <c r="C336" s="132" t="n"/>
      <c r="D336" s="133" t="n"/>
      <c r="E336" s="133" t="n"/>
      <c r="F336" s="132" t="n"/>
      <c r="G336" s="134" t="n"/>
      <c r="H336" s="132" t="n"/>
      <c r="I336" s="135" t="n"/>
      <c r="J336" s="136" t="n"/>
      <c r="K336" s="132" t="n"/>
      <c r="L336" s="132" t="n"/>
      <c r="M336" s="137">
        <f>IF(OR(L336="",L336="PENDING"),"",IF(L336="P",I336,IF(L336="L",0,IF(G336&lt;0,I336+I336*100/ABS(G336),I336+I336*G336/100))))</f>
        <v/>
      </c>
      <c r="N336" s="138">
        <f>IF(OR(L336="",L336="PENDING"),"",IF(L336="P",0,IF(L336="L",-J336,IF(G336&lt;0,J336*100/ABS(G336),J336*G336/100))))</f>
        <v/>
      </c>
      <c r="O336" s="137">
        <f>IF(OR(L336="",L336="PENDING"),"",IF(L336="P",0,M336-I336))</f>
        <v/>
      </c>
    </row>
    <row r="337" ht="18" customHeight="1" s="91">
      <c r="A337" s="139">
        <f>IF(C337="","",ROW()-7)</f>
        <v/>
      </c>
      <c r="B337" s="140" t="n"/>
      <c r="C337" s="140" t="n"/>
      <c r="D337" s="141" t="n"/>
      <c r="E337" s="141" t="n"/>
      <c r="F337" s="140" t="n"/>
      <c r="G337" s="142" t="n"/>
      <c r="H337" s="140" t="n"/>
      <c r="I337" s="143" t="n"/>
      <c r="J337" s="144" t="n"/>
      <c r="K337" s="140" t="n"/>
      <c r="L337" s="140" t="n"/>
      <c r="M337" s="145">
        <f>IF(OR(L337="",L337="PENDING"),"",IF(L337="P",I337,IF(L337="L",0,IF(G337&lt;0,I337+I337*100/ABS(G337),I337+I337*G337/100))))</f>
        <v/>
      </c>
      <c r="N337" s="146">
        <f>IF(OR(L337="",L337="PENDING"),"",IF(L337="P",0,IF(L337="L",-J337,IF(G337&lt;0,J337*100/ABS(G337),J337*G337/100))))</f>
        <v/>
      </c>
      <c r="O337" s="145">
        <f>IF(OR(L337="",L337="PENDING"),"",IF(L337="P",0,M337-I337))</f>
        <v/>
      </c>
    </row>
    <row r="338" ht="18" customHeight="1" s="91">
      <c r="A338" s="131">
        <f>IF(C338="","",ROW()-7)</f>
        <v/>
      </c>
      <c r="B338" s="132" t="n"/>
      <c r="C338" s="132" t="n"/>
      <c r="D338" s="133" t="n"/>
      <c r="E338" s="133" t="n"/>
      <c r="F338" s="132" t="n"/>
      <c r="G338" s="134" t="n"/>
      <c r="H338" s="132" t="n"/>
      <c r="I338" s="135" t="n"/>
      <c r="J338" s="136" t="n"/>
      <c r="K338" s="132" t="n"/>
      <c r="L338" s="132" t="n"/>
      <c r="M338" s="137">
        <f>IF(OR(L338="",L338="PENDING"),"",IF(L338="P",I338,IF(L338="L",0,IF(G338&lt;0,I338+I338*100/ABS(G338),I338+I338*G338/100))))</f>
        <v/>
      </c>
      <c r="N338" s="138">
        <f>IF(OR(L338="",L338="PENDING"),"",IF(L338="P",0,IF(L338="L",-J338,IF(G338&lt;0,J338*100/ABS(G338),J338*G338/100))))</f>
        <v/>
      </c>
      <c r="O338" s="137">
        <f>IF(OR(L338="",L338="PENDING"),"",IF(L338="P",0,M338-I338))</f>
        <v/>
      </c>
    </row>
    <row r="339" ht="18" customHeight="1" s="91">
      <c r="A339" s="139">
        <f>IF(C339="","",ROW()-7)</f>
        <v/>
      </c>
      <c r="B339" s="140" t="n"/>
      <c r="C339" s="140" t="n"/>
      <c r="D339" s="141" t="n"/>
      <c r="E339" s="141" t="n"/>
      <c r="F339" s="140" t="n"/>
      <c r="G339" s="142" t="n"/>
      <c r="H339" s="140" t="n"/>
      <c r="I339" s="143" t="n"/>
      <c r="J339" s="144" t="n"/>
      <c r="K339" s="140" t="n"/>
      <c r="L339" s="140" t="n"/>
      <c r="M339" s="145">
        <f>IF(OR(L339="",L339="PENDING"),"",IF(L339="P",I339,IF(L339="L",0,IF(G339&lt;0,I339+I339*100/ABS(G339),I339+I339*G339/100))))</f>
        <v/>
      </c>
      <c r="N339" s="146">
        <f>IF(OR(L339="",L339="PENDING"),"",IF(L339="P",0,IF(L339="L",-J339,IF(G339&lt;0,J339*100/ABS(G339),J339*G339/100))))</f>
        <v/>
      </c>
      <c r="O339" s="145">
        <f>IF(OR(L339="",L339="PENDING"),"",IF(L339="P",0,M339-I339))</f>
        <v/>
      </c>
    </row>
    <row r="340" ht="18" customHeight="1" s="91">
      <c r="A340" s="131">
        <f>IF(C340="","",ROW()-7)</f>
        <v/>
      </c>
      <c r="B340" s="132" t="n"/>
      <c r="C340" s="132" t="n"/>
      <c r="D340" s="133" t="n"/>
      <c r="E340" s="133" t="n"/>
      <c r="F340" s="132" t="n"/>
      <c r="G340" s="134" t="n"/>
      <c r="H340" s="132" t="n"/>
      <c r="I340" s="135" t="n"/>
      <c r="J340" s="136" t="n"/>
      <c r="K340" s="132" t="n"/>
      <c r="L340" s="132" t="n"/>
      <c r="M340" s="137">
        <f>IF(OR(L340="",L340="PENDING"),"",IF(L340="P",I340,IF(L340="L",0,IF(G340&lt;0,I340+I340*100/ABS(G340),I340+I340*G340/100))))</f>
        <v/>
      </c>
      <c r="N340" s="138">
        <f>IF(OR(L340="",L340="PENDING"),"",IF(L340="P",0,IF(L340="L",-J340,IF(G340&lt;0,J340*100/ABS(G340),J340*G340/100))))</f>
        <v/>
      </c>
      <c r="O340" s="137">
        <f>IF(OR(L340="",L340="PENDING"),"",IF(L340="P",0,M340-I340))</f>
        <v/>
      </c>
    </row>
    <row r="341" ht="18" customHeight="1" s="91">
      <c r="A341" s="139">
        <f>IF(C341="","",ROW()-7)</f>
        <v/>
      </c>
      <c r="B341" s="140" t="n"/>
      <c r="C341" s="140" t="n"/>
      <c r="D341" s="141" t="n"/>
      <c r="E341" s="141" t="n"/>
      <c r="F341" s="140" t="n"/>
      <c r="G341" s="142" t="n"/>
      <c r="H341" s="140" t="n"/>
      <c r="I341" s="143" t="n"/>
      <c r="J341" s="144" t="n"/>
      <c r="K341" s="140" t="n"/>
      <c r="L341" s="140" t="n"/>
      <c r="M341" s="145">
        <f>IF(OR(L341="",L341="PENDING"),"",IF(L341="P",I341,IF(L341="L",0,IF(G341&lt;0,I341+I341*100/ABS(G341),I341+I341*G341/100))))</f>
        <v/>
      </c>
      <c r="N341" s="146">
        <f>IF(OR(L341="",L341="PENDING"),"",IF(L341="P",0,IF(L341="L",-J341,IF(G341&lt;0,J341*100/ABS(G341),J341*G341/100))))</f>
        <v/>
      </c>
      <c r="O341" s="145">
        <f>IF(OR(L341="",L341="PENDING"),"",IF(L341="P",0,M341-I341))</f>
        <v/>
      </c>
    </row>
    <row r="342" ht="18" customHeight="1" s="91">
      <c r="A342" s="131">
        <f>IF(C342="","",ROW()-7)</f>
        <v/>
      </c>
      <c r="B342" s="132" t="n"/>
      <c r="C342" s="132" t="n"/>
      <c r="D342" s="133" t="n"/>
      <c r="E342" s="133" t="n"/>
      <c r="F342" s="132" t="n"/>
      <c r="G342" s="134" t="n"/>
      <c r="H342" s="132" t="n"/>
      <c r="I342" s="135" t="n"/>
      <c r="J342" s="136" t="n"/>
      <c r="K342" s="132" t="n"/>
      <c r="L342" s="132" t="n"/>
      <c r="M342" s="137">
        <f>IF(OR(L342="",L342="PENDING"),"",IF(L342="P",I342,IF(L342="L",0,IF(G342&lt;0,I342+I342*100/ABS(G342),I342+I342*G342/100))))</f>
        <v/>
      </c>
      <c r="N342" s="138">
        <f>IF(OR(L342="",L342="PENDING"),"",IF(L342="P",0,IF(L342="L",-J342,IF(G342&lt;0,J342*100/ABS(G342),J342*G342/100))))</f>
        <v/>
      </c>
      <c r="O342" s="137">
        <f>IF(OR(L342="",L342="PENDING"),"",IF(L342="P",0,M342-I342))</f>
        <v/>
      </c>
    </row>
    <row r="343" ht="18" customHeight="1" s="91">
      <c r="A343" s="139">
        <f>IF(C343="","",ROW()-7)</f>
        <v/>
      </c>
      <c r="B343" s="140" t="n"/>
      <c r="C343" s="140" t="n"/>
      <c r="D343" s="141" t="n"/>
      <c r="E343" s="141" t="n"/>
      <c r="F343" s="140" t="n"/>
      <c r="G343" s="142" t="n"/>
      <c r="H343" s="140" t="n"/>
      <c r="I343" s="143" t="n"/>
      <c r="J343" s="144" t="n"/>
      <c r="K343" s="140" t="n"/>
      <c r="L343" s="140" t="n"/>
      <c r="M343" s="145">
        <f>IF(OR(L343="",L343="PENDING"),"",IF(L343="P",I343,IF(L343="L",0,IF(G343&lt;0,I343+I343*100/ABS(G343),I343+I343*G343/100))))</f>
        <v/>
      </c>
      <c r="N343" s="146">
        <f>IF(OR(L343="",L343="PENDING"),"",IF(L343="P",0,IF(L343="L",-J343,IF(G343&lt;0,J343*100/ABS(G343),J343*G343/100))))</f>
        <v/>
      </c>
      <c r="O343" s="145">
        <f>IF(OR(L343="",L343="PENDING"),"",IF(L343="P",0,M343-I343))</f>
        <v/>
      </c>
    </row>
    <row r="344" ht="18" customHeight="1" s="91">
      <c r="A344" s="131">
        <f>IF(C344="","",ROW()-7)</f>
        <v/>
      </c>
      <c r="B344" s="132" t="n"/>
      <c r="C344" s="132" t="n"/>
      <c r="D344" s="133" t="n"/>
      <c r="E344" s="133" t="n"/>
      <c r="F344" s="132" t="n"/>
      <c r="G344" s="134" t="n"/>
      <c r="H344" s="132" t="n"/>
      <c r="I344" s="135" t="n"/>
      <c r="J344" s="136" t="n"/>
      <c r="K344" s="132" t="n"/>
      <c r="L344" s="132" t="n"/>
      <c r="M344" s="137">
        <f>IF(OR(L344="",L344="PENDING"),"",IF(L344="P",I344,IF(L344="L",0,IF(G344&lt;0,I344+I344*100/ABS(G344),I344+I344*G344/100))))</f>
        <v/>
      </c>
      <c r="N344" s="138">
        <f>IF(OR(L344="",L344="PENDING"),"",IF(L344="P",0,IF(L344="L",-J344,IF(G344&lt;0,J344*100/ABS(G344),J344*G344/100))))</f>
        <v/>
      </c>
      <c r="O344" s="137">
        <f>IF(OR(L344="",L344="PENDING"),"",IF(L344="P",0,M344-I344))</f>
        <v/>
      </c>
    </row>
    <row r="345" ht="18" customHeight="1" s="91">
      <c r="A345" s="139">
        <f>IF(C345="","",ROW()-7)</f>
        <v/>
      </c>
      <c r="B345" s="140" t="n"/>
      <c r="C345" s="140" t="n"/>
      <c r="D345" s="141" t="n"/>
      <c r="E345" s="141" t="n"/>
      <c r="F345" s="140" t="n"/>
      <c r="G345" s="142" t="n"/>
      <c r="H345" s="140" t="n"/>
      <c r="I345" s="143" t="n"/>
      <c r="J345" s="144" t="n"/>
      <c r="K345" s="140" t="n"/>
      <c r="L345" s="140" t="n"/>
      <c r="M345" s="145">
        <f>IF(OR(L345="",L345="PENDING"),"",IF(L345="P",I345,IF(L345="L",0,IF(G345&lt;0,I345+I345*100/ABS(G345),I345+I345*G345/100))))</f>
        <v/>
      </c>
      <c r="N345" s="146">
        <f>IF(OR(L345="",L345="PENDING"),"",IF(L345="P",0,IF(L345="L",-J345,IF(G345&lt;0,J345*100/ABS(G345),J345*G345/100))))</f>
        <v/>
      </c>
      <c r="O345" s="145">
        <f>IF(OR(L345="",L345="PENDING"),"",IF(L345="P",0,M345-I345))</f>
        <v/>
      </c>
    </row>
    <row r="346" ht="18" customHeight="1" s="91">
      <c r="A346" s="131">
        <f>IF(C346="","",ROW()-7)</f>
        <v/>
      </c>
      <c r="B346" s="132" t="n"/>
      <c r="C346" s="132" t="n"/>
      <c r="D346" s="133" t="n"/>
      <c r="E346" s="133" t="n"/>
      <c r="F346" s="132" t="n"/>
      <c r="G346" s="134" t="n"/>
      <c r="H346" s="132" t="n"/>
      <c r="I346" s="135" t="n"/>
      <c r="J346" s="136" t="n"/>
      <c r="K346" s="132" t="n"/>
      <c r="L346" s="132" t="n"/>
      <c r="M346" s="137">
        <f>IF(OR(L346="",L346="PENDING"),"",IF(L346="P",I346,IF(L346="L",0,IF(G346&lt;0,I346+I346*100/ABS(G346),I346+I346*G346/100))))</f>
        <v/>
      </c>
      <c r="N346" s="138">
        <f>IF(OR(L346="",L346="PENDING"),"",IF(L346="P",0,IF(L346="L",-J346,IF(G346&lt;0,J346*100/ABS(G346),J346*G346/100))))</f>
        <v/>
      </c>
      <c r="O346" s="137">
        <f>IF(OR(L346="",L346="PENDING"),"",IF(L346="P",0,M346-I346))</f>
        <v/>
      </c>
    </row>
    <row r="347" ht="18" customHeight="1" s="91">
      <c r="A347" s="139">
        <f>IF(C347="","",ROW()-7)</f>
        <v/>
      </c>
      <c r="B347" s="140" t="n"/>
      <c r="C347" s="140" t="n"/>
      <c r="D347" s="141" t="n"/>
      <c r="E347" s="141" t="n"/>
      <c r="F347" s="140" t="n"/>
      <c r="G347" s="142" t="n"/>
      <c r="H347" s="140" t="n"/>
      <c r="I347" s="143" t="n"/>
      <c r="J347" s="144" t="n"/>
      <c r="K347" s="140" t="n"/>
      <c r="L347" s="140" t="n"/>
      <c r="M347" s="145">
        <f>IF(OR(L347="",L347="PENDING"),"",IF(L347="P",I347,IF(L347="L",0,IF(G347&lt;0,I347+I347*100/ABS(G347),I347+I347*G347/100))))</f>
        <v/>
      </c>
      <c r="N347" s="146">
        <f>IF(OR(L347="",L347="PENDING"),"",IF(L347="P",0,IF(L347="L",-J347,IF(G347&lt;0,J347*100/ABS(G347),J347*G347/100))))</f>
        <v/>
      </c>
      <c r="O347" s="145">
        <f>IF(OR(L347="",L347="PENDING"),"",IF(L347="P",0,M347-I347))</f>
        <v/>
      </c>
    </row>
    <row r="348" ht="18" customHeight="1" s="91">
      <c r="A348" s="131">
        <f>IF(C348="","",ROW()-7)</f>
        <v/>
      </c>
      <c r="B348" s="132" t="n"/>
      <c r="C348" s="132" t="n"/>
      <c r="D348" s="133" t="n"/>
      <c r="E348" s="133" t="n"/>
      <c r="F348" s="132" t="n"/>
      <c r="G348" s="134" t="n"/>
      <c r="H348" s="132" t="n"/>
      <c r="I348" s="135" t="n"/>
      <c r="J348" s="136" t="n"/>
      <c r="K348" s="132" t="n"/>
      <c r="L348" s="132" t="n"/>
      <c r="M348" s="137">
        <f>IF(OR(L348="",L348="PENDING"),"",IF(L348="P",I348,IF(L348="L",0,IF(G348&lt;0,I348+I348*100/ABS(G348),I348+I348*G348/100))))</f>
        <v/>
      </c>
      <c r="N348" s="138">
        <f>IF(OR(L348="",L348="PENDING"),"",IF(L348="P",0,IF(L348="L",-J348,IF(G348&lt;0,J348*100/ABS(G348),J348*G348/100))))</f>
        <v/>
      </c>
      <c r="O348" s="137">
        <f>IF(OR(L348="",L348="PENDING"),"",IF(L348="P",0,M348-I348))</f>
        <v/>
      </c>
    </row>
    <row r="349" ht="18" customHeight="1" s="91">
      <c r="A349" s="139">
        <f>IF(C349="","",ROW()-7)</f>
        <v/>
      </c>
      <c r="B349" s="140" t="n"/>
      <c r="C349" s="140" t="n"/>
      <c r="D349" s="141" t="n"/>
      <c r="E349" s="141" t="n"/>
      <c r="F349" s="140" t="n"/>
      <c r="G349" s="142" t="n"/>
      <c r="H349" s="140" t="n"/>
      <c r="I349" s="143" t="n"/>
      <c r="J349" s="144" t="n"/>
      <c r="K349" s="140" t="n"/>
      <c r="L349" s="140" t="n"/>
      <c r="M349" s="145">
        <f>IF(OR(L349="",L349="PENDING"),"",IF(L349="P",I349,IF(L349="L",0,IF(G349&lt;0,I349+I349*100/ABS(G349),I349+I349*G349/100))))</f>
        <v/>
      </c>
      <c r="N349" s="146">
        <f>IF(OR(L349="",L349="PENDING"),"",IF(L349="P",0,IF(L349="L",-J349,IF(G349&lt;0,J349*100/ABS(G349),J349*G349/100))))</f>
        <v/>
      </c>
      <c r="O349" s="145">
        <f>IF(OR(L349="",L349="PENDING"),"",IF(L349="P",0,M349-I349))</f>
        <v/>
      </c>
    </row>
    <row r="350" ht="18" customHeight="1" s="91">
      <c r="A350" s="131">
        <f>IF(C350="","",ROW()-7)</f>
        <v/>
      </c>
      <c r="B350" s="132" t="n"/>
      <c r="C350" s="132" t="n"/>
      <c r="D350" s="133" t="n"/>
      <c r="E350" s="133" t="n"/>
      <c r="F350" s="132" t="n"/>
      <c r="G350" s="134" t="n"/>
      <c r="H350" s="132" t="n"/>
      <c r="I350" s="135" t="n"/>
      <c r="J350" s="136" t="n"/>
      <c r="K350" s="132" t="n"/>
      <c r="L350" s="132" t="n"/>
      <c r="M350" s="137">
        <f>IF(OR(L350="",L350="PENDING"),"",IF(L350="P",I350,IF(L350="L",0,IF(G350&lt;0,I350+I350*100/ABS(G350),I350+I350*G350/100))))</f>
        <v/>
      </c>
      <c r="N350" s="138">
        <f>IF(OR(L350="",L350="PENDING"),"",IF(L350="P",0,IF(L350="L",-J350,IF(G350&lt;0,J350*100/ABS(G350),J350*G350/100))))</f>
        <v/>
      </c>
      <c r="O350" s="137">
        <f>IF(OR(L350="",L350="PENDING"),"",IF(L350="P",0,M350-I350))</f>
        <v/>
      </c>
    </row>
    <row r="351" ht="18" customHeight="1" s="91">
      <c r="A351" s="139">
        <f>IF(C351="","",ROW()-7)</f>
        <v/>
      </c>
      <c r="B351" s="140" t="n"/>
      <c r="C351" s="140" t="n"/>
      <c r="D351" s="141" t="n"/>
      <c r="E351" s="141" t="n"/>
      <c r="F351" s="140" t="n"/>
      <c r="G351" s="142" t="n"/>
      <c r="H351" s="140" t="n"/>
      <c r="I351" s="143" t="n"/>
      <c r="J351" s="144" t="n"/>
      <c r="K351" s="140" t="n"/>
      <c r="L351" s="140" t="n"/>
      <c r="M351" s="145">
        <f>IF(OR(L351="",L351="PENDING"),"",IF(L351="P",I351,IF(L351="L",0,IF(G351&lt;0,I351+I351*100/ABS(G351),I351+I351*G351/100))))</f>
        <v/>
      </c>
      <c r="N351" s="146">
        <f>IF(OR(L351="",L351="PENDING"),"",IF(L351="P",0,IF(L351="L",-J351,IF(G351&lt;0,J351*100/ABS(G351),J351*G351/100))))</f>
        <v/>
      </c>
      <c r="O351" s="145">
        <f>IF(OR(L351="",L351="PENDING"),"",IF(L351="P",0,M351-I351))</f>
        <v/>
      </c>
    </row>
    <row r="352" ht="18" customHeight="1" s="91">
      <c r="A352" s="131">
        <f>IF(C352="","",ROW()-7)</f>
        <v/>
      </c>
      <c r="B352" s="132" t="n"/>
      <c r="C352" s="132" t="n"/>
      <c r="D352" s="133" t="n"/>
      <c r="E352" s="133" t="n"/>
      <c r="F352" s="132" t="n"/>
      <c r="G352" s="134" t="n"/>
      <c r="H352" s="132" t="n"/>
      <c r="I352" s="135" t="n"/>
      <c r="J352" s="136" t="n"/>
      <c r="K352" s="132" t="n"/>
      <c r="L352" s="132" t="n"/>
      <c r="M352" s="137">
        <f>IF(OR(L352="",L352="PENDING"),"",IF(L352="P",I352,IF(L352="L",0,IF(G352&lt;0,I352+I352*100/ABS(G352),I352+I352*G352/100))))</f>
        <v/>
      </c>
      <c r="N352" s="138">
        <f>IF(OR(L352="",L352="PENDING"),"",IF(L352="P",0,IF(L352="L",-J352,IF(G352&lt;0,J352*100/ABS(G352),J352*G352/100))))</f>
        <v/>
      </c>
      <c r="O352" s="137">
        <f>IF(OR(L352="",L352="PENDING"),"",IF(L352="P",0,M352-I352))</f>
        <v/>
      </c>
    </row>
    <row r="353" ht="18" customHeight="1" s="91">
      <c r="A353" s="139">
        <f>IF(C353="","",ROW()-7)</f>
        <v/>
      </c>
      <c r="B353" s="140" t="n"/>
      <c r="C353" s="140" t="n"/>
      <c r="D353" s="141" t="n"/>
      <c r="E353" s="141" t="n"/>
      <c r="F353" s="140" t="n"/>
      <c r="G353" s="142" t="n"/>
      <c r="H353" s="140" t="n"/>
      <c r="I353" s="143" t="n"/>
      <c r="J353" s="144" t="n"/>
      <c r="K353" s="140" t="n"/>
      <c r="L353" s="140" t="n"/>
      <c r="M353" s="145">
        <f>IF(OR(L353="",L353="PENDING"),"",IF(L353="P",I353,IF(L353="L",0,IF(G353&lt;0,I353+I353*100/ABS(G353),I353+I353*G353/100))))</f>
        <v/>
      </c>
      <c r="N353" s="146">
        <f>IF(OR(L353="",L353="PENDING"),"",IF(L353="P",0,IF(L353="L",-J353,IF(G353&lt;0,J353*100/ABS(G353),J353*G353/100))))</f>
        <v/>
      </c>
      <c r="O353" s="145">
        <f>IF(OR(L353="",L353="PENDING"),"",IF(L353="P",0,M353-I353))</f>
        <v/>
      </c>
    </row>
    <row r="354" ht="18" customHeight="1" s="91">
      <c r="A354" s="131">
        <f>IF(C354="","",ROW()-7)</f>
        <v/>
      </c>
      <c r="B354" s="132" t="n"/>
      <c r="C354" s="132" t="n"/>
      <c r="D354" s="133" t="n"/>
      <c r="E354" s="133" t="n"/>
      <c r="F354" s="132" t="n"/>
      <c r="G354" s="134" t="n"/>
      <c r="H354" s="132" t="n"/>
      <c r="I354" s="135" t="n"/>
      <c r="J354" s="136" t="n"/>
      <c r="K354" s="132" t="n"/>
      <c r="L354" s="132" t="n"/>
      <c r="M354" s="137">
        <f>IF(OR(L354="",L354="PENDING"),"",IF(L354="P",I354,IF(L354="L",0,IF(G354&lt;0,I354+I354*100/ABS(G354),I354+I354*G354/100))))</f>
        <v/>
      </c>
      <c r="N354" s="138">
        <f>IF(OR(L354="",L354="PENDING"),"",IF(L354="P",0,IF(L354="L",-J354,IF(G354&lt;0,J354*100/ABS(G354),J354*G354/100))))</f>
        <v/>
      </c>
      <c r="O354" s="137">
        <f>IF(OR(L354="",L354="PENDING"),"",IF(L354="P",0,M354-I354))</f>
        <v/>
      </c>
    </row>
    <row r="355" ht="18" customHeight="1" s="91">
      <c r="A355" s="139">
        <f>IF(C355="","",ROW()-7)</f>
        <v/>
      </c>
      <c r="B355" s="140" t="n"/>
      <c r="C355" s="140" t="n"/>
      <c r="D355" s="141" t="n"/>
      <c r="E355" s="141" t="n"/>
      <c r="F355" s="140" t="n"/>
      <c r="G355" s="142" t="n"/>
      <c r="H355" s="140" t="n"/>
      <c r="I355" s="143" t="n"/>
      <c r="J355" s="144" t="n"/>
      <c r="K355" s="140" t="n"/>
      <c r="L355" s="140" t="n"/>
      <c r="M355" s="145">
        <f>IF(OR(L355="",L355="PENDING"),"",IF(L355="P",I355,IF(L355="L",0,IF(G355&lt;0,I355+I355*100/ABS(G355),I355+I355*G355/100))))</f>
        <v/>
      </c>
      <c r="N355" s="146">
        <f>IF(OR(L355="",L355="PENDING"),"",IF(L355="P",0,IF(L355="L",-J355,IF(G355&lt;0,J355*100/ABS(G355),J355*G355/100))))</f>
        <v/>
      </c>
      <c r="O355" s="145">
        <f>IF(OR(L355="",L355="PENDING"),"",IF(L355="P",0,M355-I355))</f>
        <v/>
      </c>
    </row>
    <row r="356" ht="18" customHeight="1" s="91">
      <c r="A356" s="131">
        <f>IF(C356="","",ROW()-7)</f>
        <v/>
      </c>
      <c r="B356" s="132" t="n"/>
      <c r="C356" s="132" t="n"/>
      <c r="D356" s="133" t="n"/>
      <c r="E356" s="133" t="n"/>
      <c r="F356" s="132" t="n"/>
      <c r="G356" s="134" t="n"/>
      <c r="H356" s="132" t="n"/>
      <c r="I356" s="135" t="n"/>
      <c r="J356" s="136" t="n"/>
      <c r="K356" s="132" t="n"/>
      <c r="L356" s="132" t="n"/>
      <c r="M356" s="137">
        <f>IF(OR(L356="",L356="PENDING"),"",IF(L356="P",I356,IF(L356="L",0,IF(G356&lt;0,I356+I356*100/ABS(G356),I356+I356*G356/100))))</f>
        <v/>
      </c>
      <c r="N356" s="138">
        <f>IF(OR(L356="",L356="PENDING"),"",IF(L356="P",0,IF(L356="L",-J356,IF(G356&lt;0,J356*100/ABS(G356),J356*G356/100))))</f>
        <v/>
      </c>
      <c r="O356" s="137">
        <f>IF(OR(L356="",L356="PENDING"),"",IF(L356="P",0,M356-I356))</f>
        <v/>
      </c>
    </row>
    <row r="357" ht="18" customHeight="1" s="91">
      <c r="A357" s="139">
        <f>IF(C357="","",ROW()-7)</f>
        <v/>
      </c>
      <c r="B357" s="140" t="n"/>
      <c r="C357" s="140" t="n"/>
      <c r="D357" s="141" t="n"/>
      <c r="E357" s="141" t="n"/>
      <c r="F357" s="140" t="n"/>
      <c r="G357" s="142" t="n"/>
      <c r="H357" s="140" t="n"/>
      <c r="I357" s="143" t="n"/>
      <c r="J357" s="144" t="n"/>
      <c r="K357" s="140" t="n"/>
      <c r="L357" s="140" t="n"/>
      <c r="M357" s="145">
        <f>IF(OR(L357="",L357="PENDING"),"",IF(L357="P",I357,IF(L357="L",0,IF(G357&lt;0,I357+I357*100/ABS(G357),I357+I357*G357/100))))</f>
        <v/>
      </c>
      <c r="N357" s="146">
        <f>IF(OR(L357="",L357="PENDING"),"",IF(L357="P",0,IF(L357="L",-J357,IF(G357&lt;0,J357*100/ABS(G357),J357*G357/100))))</f>
        <v/>
      </c>
      <c r="O357" s="145">
        <f>IF(OR(L357="",L357="PENDING"),"",IF(L357="P",0,M357-I357))</f>
        <v/>
      </c>
    </row>
    <row r="358" ht="18" customHeight="1" s="91">
      <c r="A358" s="131">
        <f>IF(C358="","",ROW()-7)</f>
        <v/>
      </c>
      <c r="B358" s="132" t="n"/>
      <c r="C358" s="132" t="n"/>
      <c r="D358" s="133" t="n"/>
      <c r="E358" s="133" t="n"/>
      <c r="F358" s="132" t="n"/>
      <c r="G358" s="134" t="n"/>
      <c r="H358" s="132" t="n"/>
      <c r="I358" s="135" t="n"/>
      <c r="J358" s="136" t="n"/>
      <c r="K358" s="132" t="n"/>
      <c r="L358" s="132" t="n"/>
      <c r="M358" s="137">
        <f>IF(OR(L358="",L358="PENDING"),"",IF(L358="P",I358,IF(L358="L",0,IF(G358&lt;0,I358+I358*100/ABS(G358),I358+I358*G358/100))))</f>
        <v/>
      </c>
      <c r="N358" s="138">
        <f>IF(OR(L358="",L358="PENDING"),"",IF(L358="P",0,IF(L358="L",-J358,IF(G358&lt;0,J358*100/ABS(G358),J358*G358/100))))</f>
        <v/>
      </c>
      <c r="O358" s="137">
        <f>IF(OR(L358="",L358="PENDING"),"",IF(L358="P",0,M358-I358))</f>
        <v/>
      </c>
    </row>
    <row r="359" ht="18" customHeight="1" s="91">
      <c r="A359" s="139">
        <f>IF(C359="","",ROW()-7)</f>
        <v/>
      </c>
      <c r="B359" s="140" t="n"/>
      <c r="C359" s="140" t="n"/>
      <c r="D359" s="141" t="n"/>
      <c r="E359" s="141" t="n"/>
      <c r="F359" s="140" t="n"/>
      <c r="G359" s="142" t="n"/>
      <c r="H359" s="140" t="n"/>
      <c r="I359" s="143" t="n"/>
      <c r="J359" s="144" t="n"/>
      <c r="K359" s="140" t="n"/>
      <c r="L359" s="140" t="n"/>
      <c r="M359" s="145">
        <f>IF(OR(L359="",L359="PENDING"),"",IF(L359="P",I359,IF(L359="L",0,IF(G359&lt;0,I359+I359*100/ABS(G359),I359+I359*G359/100))))</f>
        <v/>
      </c>
      <c r="N359" s="146">
        <f>IF(OR(L359="",L359="PENDING"),"",IF(L359="P",0,IF(L359="L",-J359,IF(G359&lt;0,J359*100/ABS(G359),J359*G359/100))))</f>
        <v/>
      </c>
      <c r="O359" s="145">
        <f>IF(OR(L359="",L359="PENDING"),"",IF(L359="P",0,M359-I359))</f>
        <v/>
      </c>
    </row>
    <row r="360" ht="18" customHeight="1" s="91">
      <c r="A360" s="131">
        <f>IF(C360="","",ROW()-7)</f>
        <v/>
      </c>
      <c r="B360" s="132" t="n"/>
      <c r="C360" s="132" t="n"/>
      <c r="D360" s="133" t="n"/>
      <c r="E360" s="133" t="n"/>
      <c r="F360" s="132" t="n"/>
      <c r="G360" s="134" t="n"/>
      <c r="H360" s="132" t="n"/>
      <c r="I360" s="135" t="n"/>
      <c r="J360" s="136" t="n"/>
      <c r="K360" s="132" t="n"/>
      <c r="L360" s="132" t="n"/>
      <c r="M360" s="137">
        <f>IF(OR(L360="",L360="PENDING"),"",IF(L360="P",I360,IF(L360="L",0,IF(G360&lt;0,I360+I360*100/ABS(G360),I360+I360*G360/100))))</f>
        <v/>
      </c>
      <c r="N360" s="138">
        <f>IF(OR(L360="",L360="PENDING"),"",IF(L360="P",0,IF(L360="L",-J360,IF(G360&lt;0,J360*100/ABS(G360),J360*G360/100))))</f>
        <v/>
      </c>
      <c r="O360" s="137">
        <f>IF(OR(L360="",L360="PENDING"),"",IF(L360="P",0,M360-I360))</f>
        <v/>
      </c>
    </row>
    <row r="361" ht="18" customHeight="1" s="91">
      <c r="A361" s="139">
        <f>IF(C361="","",ROW()-7)</f>
        <v/>
      </c>
      <c r="B361" s="140" t="n"/>
      <c r="C361" s="140" t="n"/>
      <c r="D361" s="141" t="n"/>
      <c r="E361" s="141" t="n"/>
      <c r="F361" s="140" t="n"/>
      <c r="G361" s="142" t="n"/>
      <c r="H361" s="140" t="n"/>
      <c r="I361" s="143" t="n"/>
      <c r="J361" s="144" t="n"/>
      <c r="K361" s="140" t="n"/>
      <c r="L361" s="140" t="n"/>
      <c r="M361" s="145">
        <f>IF(OR(L361="",L361="PENDING"),"",IF(L361="P",I361,IF(L361="L",0,IF(G361&lt;0,I361+I361*100/ABS(G361),I361+I361*G361/100))))</f>
        <v/>
      </c>
      <c r="N361" s="146">
        <f>IF(OR(L361="",L361="PENDING"),"",IF(L361="P",0,IF(L361="L",-J361,IF(G361&lt;0,J361*100/ABS(G361),J361*G361/100))))</f>
        <v/>
      </c>
      <c r="O361" s="145">
        <f>IF(OR(L361="",L361="PENDING"),"",IF(L361="P",0,M361-I361))</f>
        <v/>
      </c>
    </row>
    <row r="362" ht="18" customHeight="1" s="91">
      <c r="A362" s="131">
        <f>IF(C362="","",ROW()-7)</f>
        <v/>
      </c>
      <c r="B362" s="132" t="n"/>
      <c r="C362" s="132" t="n"/>
      <c r="D362" s="133" t="n"/>
      <c r="E362" s="133" t="n"/>
      <c r="F362" s="132" t="n"/>
      <c r="G362" s="134" t="n"/>
      <c r="H362" s="132" t="n"/>
      <c r="I362" s="135" t="n"/>
      <c r="J362" s="136" t="n"/>
      <c r="K362" s="132" t="n"/>
      <c r="L362" s="132" t="n"/>
      <c r="M362" s="137">
        <f>IF(OR(L362="",L362="PENDING"),"",IF(L362="P",I362,IF(L362="L",0,IF(G362&lt;0,I362+I362*100/ABS(G362),I362+I362*G362/100))))</f>
        <v/>
      </c>
      <c r="N362" s="138">
        <f>IF(OR(L362="",L362="PENDING"),"",IF(L362="P",0,IF(L362="L",-J362,IF(G362&lt;0,J362*100/ABS(G362),J362*G362/100))))</f>
        <v/>
      </c>
      <c r="O362" s="137">
        <f>IF(OR(L362="",L362="PENDING"),"",IF(L362="P",0,M362-I362))</f>
        <v/>
      </c>
    </row>
    <row r="363" ht="18" customHeight="1" s="91">
      <c r="A363" s="139">
        <f>IF(C363="","",ROW()-7)</f>
        <v/>
      </c>
      <c r="B363" s="140" t="n"/>
      <c r="C363" s="140" t="n"/>
      <c r="D363" s="141" t="n"/>
      <c r="E363" s="141" t="n"/>
      <c r="F363" s="140" t="n"/>
      <c r="G363" s="142" t="n"/>
      <c r="H363" s="140" t="n"/>
      <c r="I363" s="143" t="n"/>
      <c r="J363" s="144" t="n"/>
      <c r="K363" s="140" t="n"/>
      <c r="L363" s="140" t="n"/>
      <c r="M363" s="145">
        <f>IF(OR(L363="",L363="PENDING"),"",IF(L363="P",I363,IF(L363="L",0,IF(G363&lt;0,I363+I363*100/ABS(G363),I363+I363*G363/100))))</f>
        <v/>
      </c>
      <c r="N363" s="146">
        <f>IF(OR(L363="",L363="PENDING"),"",IF(L363="P",0,IF(L363="L",-J363,IF(G363&lt;0,J363*100/ABS(G363),J363*G363/100))))</f>
        <v/>
      </c>
      <c r="O363" s="145">
        <f>IF(OR(L363="",L363="PENDING"),"",IF(L363="P",0,M363-I363))</f>
        <v/>
      </c>
    </row>
    <row r="364" ht="18" customHeight="1" s="91">
      <c r="A364" s="131">
        <f>IF(C364="","",ROW()-7)</f>
        <v/>
      </c>
      <c r="B364" s="132" t="n"/>
      <c r="C364" s="132" t="n"/>
      <c r="D364" s="133" t="n"/>
      <c r="E364" s="133" t="n"/>
      <c r="F364" s="132" t="n"/>
      <c r="G364" s="134" t="n"/>
      <c r="H364" s="132" t="n"/>
      <c r="I364" s="135" t="n"/>
      <c r="J364" s="136" t="n"/>
      <c r="K364" s="132" t="n"/>
      <c r="L364" s="132" t="n"/>
      <c r="M364" s="137">
        <f>IF(OR(L364="",L364="PENDING"),"",IF(L364="P",I364,IF(L364="L",0,IF(G364&lt;0,I364+I364*100/ABS(G364),I364+I364*G364/100))))</f>
        <v/>
      </c>
      <c r="N364" s="138">
        <f>IF(OR(L364="",L364="PENDING"),"",IF(L364="P",0,IF(L364="L",-J364,IF(G364&lt;0,J364*100/ABS(G364),J364*G364/100))))</f>
        <v/>
      </c>
      <c r="O364" s="137">
        <f>IF(OR(L364="",L364="PENDING"),"",IF(L364="P",0,M364-I364))</f>
        <v/>
      </c>
    </row>
    <row r="365" ht="18" customHeight="1" s="91">
      <c r="A365" s="139">
        <f>IF(C365="","",ROW()-7)</f>
        <v/>
      </c>
      <c r="B365" s="140" t="n"/>
      <c r="C365" s="140" t="n"/>
      <c r="D365" s="141" t="n"/>
      <c r="E365" s="141" t="n"/>
      <c r="F365" s="140" t="n"/>
      <c r="G365" s="142" t="n"/>
      <c r="H365" s="140" t="n"/>
      <c r="I365" s="143" t="n"/>
      <c r="J365" s="144" t="n"/>
      <c r="K365" s="140" t="n"/>
      <c r="L365" s="140" t="n"/>
      <c r="M365" s="145">
        <f>IF(OR(L365="",L365="PENDING"),"",IF(L365="P",I365,IF(L365="L",0,IF(G365&lt;0,I365+I365*100/ABS(G365),I365+I365*G365/100))))</f>
        <v/>
      </c>
      <c r="N365" s="146">
        <f>IF(OR(L365="",L365="PENDING"),"",IF(L365="P",0,IF(L365="L",-J365,IF(G365&lt;0,J365*100/ABS(G365),J365*G365/100))))</f>
        <v/>
      </c>
      <c r="O365" s="145">
        <f>IF(OR(L365="",L365="PENDING"),"",IF(L365="P",0,M365-I365))</f>
        <v/>
      </c>
    </row>
    <row r="366" ht="18" customHeight="1" s="91">
      <c r="A366" s="131">
        <f>IF(C366="","",ROW()-7)</f>
        <v/>
      </c>
      <c r="B366" s="132" t="n"/>
      <c r="C366" s="132" t="n"/>
      <c r="D366" s="133" t="n"/>
      <c r="E366" s="133" t="n"/>
      <c r="F366" s="132" t="n"/>
      <c r="G366" s="134" t="n"/>
      <c r="H366" s="132" t="n"/>
      <c r="I366" s="135" t="n"/>
      <c r="J366" s="136" t="n"/>
      <c r="K366" s="132" t="n"/>
      <c r="L366" s="132" t="n"/>
      <c r="M366" s="137">
        <f>IF(OR(L366="",L366="PENDING"),"",IF(L366="P",I366,IF(L366="L",0,IF(G366&lt;0,I366+I366*100/ABS(G366),I366+I366*G366/100))))</f>
        <v/>
      </c>
      <c r="N366" s="138">
        <f>IF(OR(L366="",L366="PENDING"),"",IF(L366="P",0,IF(L366="L",-J366,IF(G366&lt;0,J366*100/ABS(G366),J366*G366/100))))</f>
        <v/>
      </c>
      <c r="O366" s="137">
        <f>IF(OR(L366="",L366="PENDING"),"",IF(L366="P",0,M366-I366))</f>
        <v/>
      </c>
    </row>
    <row r="367" ht="18" customHeight="1" s="91">
      <c r="A367" s="139">
        <f>IF(C367="","",ROW()-7)</f>
        <v/>
      </c>
      <c r="B367" s="140" t="n"/>
      <c r="C367" s="140" t="n"/>
      <c r="D367" s="141" t="n"/>
      <c r="E367" s="141" t="n"/>
      <c r="F367" s="140" t="n"/>
      <c r="G367" s="142" t="n"/>
      <c r="H367" s="140" t="n"/>
      <c r="I367" s="143" t="n"/>
      <c r="J367" s="144" t="n"/>
      <c r="K367" s="140" t="n"/>
      <c r="L367" s="140" t="n"/>
      <c r="M367" s="145">
        <f>IF(OR(L367="",L367="PENDING"),"",IF(L367="P",I367,IF(L367="L",0,IF(G367&lt;0,I367+I367*100/ABS(G367),I367+I367*G367/100))))</f>
        <v/>
      </c>
      <c r="N367" s="146">
        <f>IF(OR(L367="",L367="PENDING"),"",IF(L367="P",0,IF(L367="L",-J367,IF(G367&lt;0,J367*100/ABS(G367),J367*G367/100))))</f>
        <v/>
      </c>
      <c r="O367" s="145">
        <f>IF(OR(L367="",L367="PENDING"),"",IF(L367="P",0,M367-I367))</f>
        <v/>
      </c>
    </row>
    <row r="368" ht="18" customHeight="1" s="91">
      <c r="A368" s="131">
        <f>IF(C368="","",ROW()-7)</f>
        <v/>
      </c>
      <c r="B368" s="132" t="n"/>
      <c r="C368" s="132" t="n"/>
      <c r="D368" s="133" t="n"/>
      <c r="E368" s="133" t="n"/>
      <c r="F368" s="132" t="n"/>
      <c r="G368" s="134" t="n"/>
      <c r="H368" s="132" t="n"/>
      <c r="I368" s="135" t="n"/>
      <c r="J368" s="136" t="n"/>
      <c r="K368" s="132" t="n"/>
      <c r="L368" s="132" t="n"/>
      <c r="M368" s="137">
        <f>IF(OR(L368="",L368="PENDING"),"",IF(L368="P",I368,IF(L368="L",0,IF(G368&lt;0,I368+I368*100/ABS(G368),I368+I368*G368/100))))</f>
        <v/>
      </c>
      <c r="N368" s="138">
        <f>IF(OR(L368="",L368="PENDING"),"",IF(L368="P",0,IF(L368="L",-J368,IF(G368&lt;0,J368*100/ABS(G368),J368*G368/100))))</f>
        <v/>
      </c>
      <c r="O368" s="137">
        <f>IF(OR(L368="",L368="PENDING"),"",IF(L368="P",0,M368-I368))</f>
        <v/>
      </c>
    </row>
    <row r="369" ht="18" customHeight="1" s="91">
      <c r="A369" s="139">
        <f>IF(C369="","",ROW()-7)</f>
        <v/>
      </c>
      <c r="B369" s="140" t="n"/>
      <c r="C369" s="140" t="n"/>
      <c r="D369" s="141" t="n"/>
      <c r="E369" s="141" t="n"/>
      <c r="F369" s="140" t="n"/>
      <c r="G369" s="142" t="n"/>
      <c r="H369" s="140" t="n"/>
      <c r="I369" s="143" t="n"/>
      <c r="J369" s="144" t="n"/>
      <c r="K369" s="140" t="n"/>
      <c r="L369" s="140" t="n"/>
      <c r="M369" s="145">
        <f>IF(OR(L369="",L369="PENDING"),"",IF(L369="P",I369,IF(L369="L",0,IF(G369&lt;0,I369+I369*100/ABS(G369),I369+I369*G369/100))))</f>
        <v/>
      </c>
      <c r="N369" s="146">
        <f>IF(OR(L369="",L369="PENDING"),"",IF(L369="P",0,IF(L369="L",-J369,IF(G369&lt;0,J369*100/ABS(G369),J369*G369/100))))</f>
        <v/>
      </c>
      <c r="O369" s="145">
        <f>IF(OR(L369="",L369="PENDING"),"",IF(L369="P",0,M369-I369))</f>
        <v/>
      </c>
    </row>
    <row r="370" ht="18" customHeight="1" s="91">
      <c r="A370" s="131">
        <f>IF(C370="","",ROW()-7)</f>
        <v/>
      </c>
      <c r="B370" s="132" t="n"/>
      <c r="C370" s="132" t="n"/>
      <c r="D370" s="133" t="n"/>
      <c r="E370" s="133" t="n"/>
      <c r="F370" s="132" t="n"/>
      <c r="G370" s="134" t="n"/>
      <c r="H370" s="132" t="n"/>
      <c r="I370" s="135" t="n"/>
      <c r="J370" s="136" t="n"/>
      <c r="K370" s="132" t="n"/>
      <c r="L370" s="132" t="n"/>
      <c r="M370" s="137">
        <f>IF(OR(L370="",L370="PENDING"),"",IF(L370="P",I370,IF(L370="L",0,IF(G370&lt;0,I370+I370*100/ABS(G370),I370+I370*G370/100))))</f>
        <v/>
      </c>
      <c r="N370" s="138">
        <f>IF(OR(L370="",L370="PENDING"),"",IF(L370="P",0,IF(L370="L",-J370,IF(G370&lt;0,J370*100/ABS(G370),J370*G370/100))))</f>
        <v/>
      </c>
      <c r="O370" s="137">
        <f>IF(OR(L370="",L370="PENDING"),"",IF(L370="P",0,M370-I370))</f>
        <v/>
      </c>
    </row>
    <row r="371" ht="18" customHeight="1" s="91">
      <c r="A371" s="139">
        <f>IF(C371="","",ROW()-7)</f>
        <v/>
      </c>
      <c r="B371" s="140" t="n"/>
      <c r="C371" s="140" t="n"/>
      <c r="D371" s="141" t="n"/>
      <c r="E371" s="141" t="n"/>
      <c r="F371" s="140" t="n"/>
      <c r="G371" s="142" t="n"/>
      <c r="H371" s="140" t="n"/>
      <c r="I371" s="143" t="n"/>
      <c r="J371" s="144" t="n"/>
      <c r="K371" s="140" t="n"/>
      <c r="L371" s="140" t="n"/>
      <c r="M371" s="145">
        <f>IF(OR(L371="",L371="PENDING"),"",IF(L371="P",I371,IF(L371="L",0,IF(G371&lt;0,I371+I371*100/ABS(G371),I371+I371*G371/100))))</f>
        <v/>
      </c>
      <c r="N371" s="146">
        <f>IF(OR(L371="",L371="PENDING"),"",IF(L371="P",0,IF(L371="L",-J371,IF(G371&lt;0,J371*100/ABS(G371),J371*G371/100))))</f>
        <v/>
      </c>
      <c r="O371" s="145">
        <f>IF(OR(L371="",L371="PENDING"),"",IF(L371="P",0,M371-I371))</f>
        <v/>
      </c>
    </row>
    <row r="372" ht="18" customHeight="1" s="91">
      <c r="A372" s="131">
        <f>IF(C372="","",ROW()-7)</f>
        <v/>
      </c>
      <c r="B372" s="132" t="n"/>
      <c r="C372" s="132" t="n"/>
      <c r="D372" s="133" t="n"/>
      <c r="E372" s="133" t="n"/>
      <c r="F372" s="132" t="n"/>
      <c r="G372" s="134" t="n"/>
      <c r="H372" s="132" t="n"/>
      <c r="I372" s="135" t="n"/>
      <c r="J372" s="136" t="n"/>
      <c r="K372" s="132" t="n"/>
      <c r="L372" s="132" t="n"/>
      <c r="M372" s="137">
        <f>IF(OR(L372="",L372="PENDING"),"",IF(L372="P",I372,IF(L372="L",0,IF(G372&lt;0,I372+I372*100/ABS(G372),I372+I372*G372/100))))</f>
        <v/>
      </c>
      <c r="N372" s="138">
        <f>IF(OR(L372="",L372="PENDING"),"",IF(L372="P",0,IF(L372="L",-J372,IF(G372&lt;0,J372*100/ABS(G372),J372*G372/100))))</f>
        <v/>
      </c>
      <c r="O372" s="137">
        <f>IF(OR(L372="",L372="PENDING"),"",IF(L372="P",0,M372-I372))</f>
        <v/>
      </c>
    </row>
    <row r="373" ht="18" customHeight="1" s="91">
      <c r="A373" s="139">
        <f>IF(C373="","",ROW()-7)</f>
        <v/>
      </c>
      <c r="B373" s="140" t="n"/>
      <c r="C373" s="140" t="n"/>
      <c r="D373" s="141" t="n"/>
      <c r="E373" s="141" t="n"/>
      <c r="F373" s="140" t="n"/>
      <c r="G373" s="142" t="n"/>
      <c r="H373" s="140" t="n"/>
      <c r="I373" s="143" t="n"/>
      <c r="J373" s="144" t="n"/>
      <c r="K373" s="140" t="n"/>
      <c r="L373" s="140" t="n"/>
      <c r="M373" s="145">
        <f>IF(OR(L373="",L373="PENDING"),"",IF(L373="P",I373,IF(L373="L",0,IF(G373&lt;0,I373+I373*100/ABS(G373),I373+I373*G373/100))))</f>
        <v/>
      </c>
      <c r="N373" s="146">
        <f>IF(OR(L373="",L373="PENDING"),"",IF(L373="P",0,IF(L373="L",-J373,IF(G373&lt;0,J373*100/ABS(G373),J373*G373/100))))</f>
        <v/>
      </c>
      <c r="O373" s="145">
        <f>IF(OR(L373="",L373="PENDING"),"",IF(L373="P",0,M373-I373))</f>
        <v/>
      </c>
    </row>
    <row r="374" ht="18" customHeight="1" s="91">
      <c r="A374" s="131">
        <f>IF(C374="","",ROW()-7)</f>
        <v/>
      </c>
      <c r="B374" s="132" t="n"/>
      <c r="C374" s="132" t="n"/>
      <c r="D374" s="133" t="n"/>
      <c r="E374" s="133" t="n"/>
      <c r="F374" s="132" t="n"/>
      <c r="G374" s="134" t="n"/>
      <c r="H374" s="132" t="n"/>
      <c r="I374" s="135" t="n"/>
      <c r="J374" s="136" t="n"/>
      <c r="K374" s="132" t="n"/>
      <c r="L374" s="132" t="n"/>
      <c r="M374" s="137">
        <f>IF(OR(L374="",L374="PENDING"),"",IF(L374="P",I374,IF(L374="L",0,IF(G374&lt;0,I374+I374*100/ABS(G374),I374+I374*G374/100))))</f>
        <v/>
      </c>
      <c r="N374" s="138">
        <f>IF(OR(L374="",L374="PENDING"),"",IF(L374="P",0,IF(L374="L",-J374,IF(G374&lt;0,J374*100/ABS(G374),J374*G374/100))))</f>
        <v/>
      </c>
      <c r="O374" s="137">
        <f>IF(OR(L374="",L374="PENDING"),"",IF(L374="P",0,M374-I374))</f>
        <v/>
      </c>
    </row>
    <row r="375" ht="18" customHeight="1" s="91">
      <c r="A375" s="139">
        <f>IF(C375="","",ROW()-7)</f>
        <v/>
      </c>
      <c r="B375" s="140" t="n"/>
      <c r="C375" s="140" t="n"/>
      <c r="D375" s="141" t="n"/>
      <c r="E375" s="141" t="n"/>
      <c r="F375" s="140" t="n"/>
      <c r="G375" s="142" t="n"/>
      <c r="H375" s="140" t="n"/>
      <c r="I375" s="143" t="n"/>
      <c r="J375" s="144" t="n"/>
      <c r="K375" s="140" t="n"/>
      <c r="L375" s="140" t="n"/>
      <c r="M375" s="145">
        <f>IF(OR(L375="",L375="PENDING"),"",IF(L375="P",I375,IF(L375="L",0,IF(G375&lt;0,I375+I375*100/ABS(G375),I375+I375*G375/100))))</f>
        <v/>
      </c>
      <c r="N375" s="146">
        <f>IF(OR(L375="",L375="PENDING"),"",IF(L375="P",0,IF(L375="L",-J375,IF(G375&lt;0,J375*100/ABS(G375),J375*G375/100))))</f>
        <v/>
      </c>
      <c r="O375" s="145">
        <f>IF(OR(L375="",L375="PENDING"),"",IF(L375="P",0,M375-I375))</f>
        <v/>
      </c>
    </row>
    <row r="376" ht="18" customHeight="1" s="91">
      <c r="A376" s="131">
        <f>IF(C376="","",ROW()-7)</f>
        <v/>
      </c>
      <c r="B376" s="132" t="n"/>
      <c r="C376" s="132" t="n"/>
      <c r="D376" s="133" t="n"/>
      <c r="E376" s="133" t="n"/>
      <c r="F376" s="132" t="n"/>
      <c r="G376" s="134" t="n"/>
      <c r="H376" s="132" t="n"/>
      <c r="I376" s="135" t="n"/>
      <c r="J376" s="136" t="n"/>
      <c r="K376" s="132" t="n"/>
      <c r="L376" s="132" t="n"/>
      <c r="M376" s="137">
        <f>IF(OR(L376="",L376="PENDING"),"",IF(L376="P",I376,IF(L376="L",0,IF(G376&lt;0,I376+I376*100/ABS(G376),I376+I376*G376/100))))</f>
        <v/>
      </c>
      <c r="N376" s="138">
        <f>IF(OR(L376="",L376="PENDING"),"",IF(L376="P",0,IF(L376="L",-J376,IF(G376&lt;0,J376*100/ABS(G376),J376*G376/100))))</f>
        <v/>
      </c>
      <c r="O376" s="137">
        <f>IF(OR(L376="",L376="PENDING"),"",IF(L376="P",0,M376-I376))</f>
        <v/>
      </c>
    </row>
    <row r="377" ht="18" customHeight="1" s="91">
      <c r="A377" s="139">
        <f>IF(C377="","",ROW()-7)</f>
        <v/>
      </c>
      <c r="B377" s="140" t="n"/>
      <c r="C377" s="140" t="n"/>
      <c r="D377" s="141" t="n"/>
      <c r="E377" s="141" t="n"/>
      <c r="F377" s="140" t="n"/>
      <c r="G377" s="142" t="n"/>
      <c r="H377" s="140" t="n"/>
      <c r="I377" s="143" t="n"/>
      <c r="J377" s="144" t="n"/>
      <c r="K377" s="140" t="n"/>
      <c r="L377" s="140" t="n"/>
      <c r="M377" s="145">
        <f>IF(OR(L377="",L377="PENDING"),"",IF(L377="P",I377,IF(L377="L",0,IF(G377&lt;0,I377+I377*100/ABS(G377),I377+I377*G377/100))))</f>
        <v/>
      </c>
      <c r="N377" s="146">
        <f>IF(OR(L377="",L377="PENDING"),"",IF(L377="P",0,IF(L377="L",-J377,IF(G377&lt;0,J377*100/ABS(G377),J377*G377/100))))</f>
        <v/>
      </c>
      <c r="O377" s="145">
        <f>IF(OR(L377="",L377="PENDING"),"",IF(L377="P",0,M377-I377))</f>
        <v/>
      </c>
    </row>
    <row r="378" ht="18" customHeight="1" s="91">
      <c r="A378" s="131">
        <f>IF(C378="","",ROW()-7)</f>
        <v/>
      </c>
      <c r="B378" s="132" t="n"/>
      <c r="C378" s="132" t="n"/>
      <c r="D378" s="133" t="n"/>
      <c r="E378" s="133" t="n"/>
      <c r="F378" s="132" t="n"/>
      <c r="G378" s="134" t="n"/>
      <c r="H378" s="132" t="n"/>
      <c r="I378" s="135" t="n"/>
      <c r="J378" s="136" t="n"/>
      <c r="K378" s="132" t="n"/>
      <c r="L378" s="132" t="n"/>
      <c r="M378" s="137">
        <f>IF(OR(L378="",L378="PENDING"),"",IF(L378="P",I378,IF(L378="L",0,IF(G378&lt;0,I378+I378*100/ABS(G378),I378+I378*G378/100))))</f>
        <v/>
      </c>
      <c r="N378" s="138">
        <f>IF(OR(L378="",L378="PENDING"),"",IF(L378="P",0,IF(L378="L",-J378,IF(G378&lt;0,J378*100/ABS(G378),J378*G378/100))))</f>
        <v/>
      </c>
      <c r="O378" s="137">
        <f>IF(OR(L378="",L378="PENDING"),"",IF(L378="P",0,M378-I378))</f>
        <v/>
      </c>
    </row>
    <row r="379" ht="18" customHeight="1" s="91">
      <c r="A379" s="139">
        <f>IF(C379="","",ROW()-7)</f>
        <v/>
      </c>
      <c r="B379" s="140" t="n"/>
      <c r="C379" s="140" t="n"/>
      <c r="D379" s="141" t="n"/>
      <c r="E379" s="141" t="n"/>
      <c r="F379" s="140" t="n"/>
      <c r="G379" s="142" t="n"/>
      <c r="H379" s="140" t="n"/>
      <c r="I379" s="143" t="n"/>
      <c r="J379" s="144" t="n"/>
      <c r="K379" s="140" t="n"/>
      <c r="L379" s="140" t="n"/>
      <c r="M379" s="145">
        <f>IF(OR(L379="",L379="PENDING"),"",IF(L379="P",I379,IF(L379="L",0,IF(G379&lt;0,I379+I379*100/ABS(G379),I379+I379*G379/100))))</f>
        <v/>
      </c>
      <c r="N379" s="146">
        <f>IF(OR(L379="",L379="PENDING"),"",IF(L379="P",0,IF(L379="L",-J379,IF(G379&lt;0,J379*100/ABS(G379),J379*G379/100))))</f>
        <v/>
      </c>
      <c r="O379" s="145">
        <f>IF(OR(L379="",L379="PENDING"),"",IF(L379="P",0,M379-I379))</f>
        <v/>
      </c>
    </row>
    <row r="380" ht="18" customHeight="1" s="91">
      <c r="A380" s="131">
        <f>IF(C380="","",ROW()-7)</f>
        <v/>
      </c>
      <c r="B380" s="132" t="n"/>
      <c r="C380" s="132" t="n"/>
      <c r="D380" s="133" t="n"/>
      <c r="E380" s="133" t="n"/>
      <c r="F380" s="132" t="n"/>
      <c r="G380" s="134" t="n"/>
      <c r="H380" s="132" t="n"/>
      <c r="I380" s="135" t="n"/>
      <c r="J380" s="136" t="n"/>
      <c r="K380" s="132" t="n"/>
      <c r="L380" s="132" t="n"/>
      <c r="M380" s="137">
        <f>IF(OR(L380="",L380="PENDING"),"",IF(L380="P",I380,IF(L380="L",0,IF(G380&lt;0,I380+I380*100/ABS(G380),I380+I380*G380/100))))</f>
        <v/>
      </c>
      <c r="N380" s="138">
        <f>IF(OR(L380="",L380="PENDING"),"",IF(L380="P",0,IF(L380="L",-J380,IF(G380&lt;0,J380*100/ABS(G380),J380*G380/100))))</f>
        <v/>
      </c>
      <c r="O380" s="137">
        <f>IF(OR(L380="",L380="PENDING"),"",IF(L380="P",0,M380-I380))</f>
        <v/>
      </c>
    </row>
    <row r="381" ht="18" customHeight="1" s="91">
      <c r="A381" s="139">
        <f>IF(C381="","",ROW()-7)</f>
        <v/>
      </c>
      <c r="B381" s="140" t="n"/>
      <c r="C381" s="140" t="n"/>
      <c r="D381" s="141" t="n"/>
      <c r="E381" s="141" t="n"/>
      <c r="F381" s="140" t="n"/>
      <c r="G381" s="142" t="n"/>
      <c r="H381" s="140" t="n"/>
      <c r="I381" s="143" t="n"/>
      <c r="J381" s="144" t="n"/>
      <c r="K381" s="140" t="n"/>
      <c r="L381" s="140" t="n"/>
      <c r="M381" s="145">
        <f>IF(OR(L381="",L381="PENDING"),"",IF(L381="P",I381,IF(L381="L",0,IF(G381&lt;0,I381+I381*100/ABS(G381),I381+I381*G381/100))))</f>
        <v/>
      </c>
      <c r="N381" s="146">
        <f>IF(OR(L381="",L381="PENDING"),"",IF(L381="P",0,IF(L381="L",-J381,IF(G381&lt;0,J381*100/ABS(G381),J381*G381/100))))</f>
        <v/>
      </c>
      <c r="O381" s="145">
        <f>IF(OR(L381="",L381="PENDING"),"",IF(L381="P",0,M381-I381))</f>
        <v/>
      </c>
    </row>
    <row r="382" ht="18" customHeight="1" s="91">
      <c r="A382" s="131">
        <f>IF(C382="","",ROW()-7)</f>
        <v/>
      </c>
      <c r="B382" s="132" t="n"/>
      <c r="C382" s="132" t="n"/>
      <c r="D382" s="133" t="n"/>
      <c r="E382" s="133" t="n"/>
      <c r="F382" s="132" t="n"/>
      <c r="G382" s="134" t="n"/>
      <c r="H382" s="132" t="n"/>
      <c r="I382" s="135" t="n"/>
      <c r="J382" s="136" t="n"/>
      <c r="K382" s="132" t="n"/>
      <c r="L382" s="132" t="n"/>
      <c r="M382" s="137">
        <f>IF(OR(L382="",L382="PENDING"),"",IF(L382="P",I382,IF(L382="L",0,IF(G382&lt;0,I382+I382*100/ABS(G382),I382+I382*G382/100))))</f>
        <v/>
      </c>
      <c r="N382" s="138">
        <f>IF(OR(L382="",L382="PENDING"),"",IF(L382="P",0,IF(L382="L",-J382,IF(G382&lt;0,J382*100/ABS(G382),J382*G382/100))))</f>
        <v/>
      </c>
      <c r="O382" s="137">
        <f>IF(OR(L382="",L382="PENDING"),"",IF(L382="P",0,M382-I382))</f>
        <v/>
      </c>
    </row>
    <row r="383" ht="18" customHeight="1" s="91">
      <c r="A383" s="139">
        <f>IF(C383="","",ROW()-7)</f>
        <v/>
      </c>
      <c r="B383" s="140" t="n"/>
      <c r="C383" s="140" t="n"/>
      <c r="D383" s="141" t="n"/>
      <c r="E383" s="141" t="n"/>
      <c r="F383" s="140" t="n"/>
      <c r="G383" s="142" t="n"/>
      <c r="H383" s="140" t="n"/>
      <c r="I383" s="143" t="n"/>
      <c r="J383" s="144" t="n"/>
      <c r="K383" s="140" t="n"/>
      <c r="L383" s="140" t="n"/>
      <c r="M383" s="145">
        <f>IF(OR(L383="",L383="PENDING"),"",IF(L383="P",I383,IF(L383="L",0,IF(G383&lt;0,I383+I383*100/ABS(G383),I383+I383*G383/100))))</f>
        <v/>
      </c>
      <c r="N383" s="146">
        <f>IF(OR(L383="",L383="PENDING"),"",IF(L383="P",0,IF(L383="L",-J383,IF(G383&lt;0,J383*100/ABS(G383),J383*G383/100))))</f>
        <v/>
      </c>
      <c r="O383" s="145">
        <f>IF(OR(L383="",L383="PENDING"),"",IF(L383="P",0,M383-I383))</f>
        <v/>
      </c>
    </row>
    <row r="384" ht="18" customHeight="1" s="91">
      <c r="A384" s="131">
        <f>IF(C384="","",ROW()-7)</f>
        <v/>
      </c>
      <c r="B384" s="132" t="n"/>
      <c r="C384" s="132" t="n"/>
      <c r="D384" s="133" t="n"/>
      <c r="E384" s="133" t="n"/>
      <c r="F384" s="132" t="n"/>
      <c r="G384" s="134" t="n"/>
      <c r="H384" s="132" t="n"/>
      <c r="I384" s="135" t="n"/>
      <c r="J384" s="136" t="n"/>
      <c r="K384" s="132" t="n"/>
      <c r="L384" s="132" t="n"/>
      <c r="M384" s="137">
        <f>IF(OR(L384="",L384="PENDING"),"",IF(L384="P",I384,IF(L384="L",0,IF(G384&lt;0,I384+I384*100/ABS(G384),I384+I384*G384/100))))</f>
        <v/>
      </c>
      <c r="N384" s="138">
        <f>IF(OR(L384="",L384="PENDING"),"",IF(L384="P",0,IF(L384="L",-J384,IF(G384&lt;0,J384*100/ABS(G384),J384*G384/100))))</f>
        <v/>
      </c>
      <c r="O384" s="137">
        <f>IF(OR(L384="",L384="PENDING"),"",IF(L384="P",0,M384-I384))</f>
        <v/>
      </c>
    </row>
    <row r="385" ht="18" customHeight="1" s="91">
      <c r="A385" s="139">
        <f>IF(C385="","",ROW()-7)</f>
        <v/>
      </c>
      <c r="B385" s="140" t="n"/>
      <c r="C385" s="140" t="n"/>
      <c r="D385" s="141" t="n"/>
      <c r="E385" s="141" t="n"/>
      <c r="F385" s="140" t="n"/>
      <c r="G385" s="142" t="n"/>
      <c r="H385" s="140" t="n"/>
      <c r="I385" s="143" t="n"/>
      <c r="J385" s="144" t="n"/>
      <c r="K385" s="140" t="n"/>
      <c r="L385" s="140" t="n"/>
      <c r="M385" s="145">
        <f>IF(OR(L385="",L385="PENDING"),"",IF(L385="P",I385,IF(L385="L",0,IF(G385&lt;0,I385+I385*100/ABS(G385),I385+I385*G385/100))))</f>
        <v/>
      </c>
      <c r="N385" s="146">
        <f>IF(OR(L385="",L385="PENDING"),"",IF(L385="P",0,IF(L385="L",-J385,IF(G385&lt;0,J385*100/ABS(G385),J385*G385/100))))</f>
        <v/>
      </c>
      <c r="O385" s="145">
        <f>IF(OR(L385="",L385="PENDING"),"",IF(L385="P",0,M385-I385))</f>
        <v/>
      </c>
    </row>
    <row r="386" ht="18" customHeight="1" s="91">
      <c r="A386" s="131">
        <f>IF(C386="","",ROW()-7)</f>
        <v/>
      </c>
      <c r="B386" s="132" t="n"/>
      <c r="C386" s="132" t="n"/>
      <c r="D386" s="133" t="n"/>
      <c r="E386" s="133" t="n"/>
      <c r="F386" s="132" t="n"/>
      <c r="G386" s="134" t="n"/>
      <c r="H386" s="132" t="n"/>
      <c r="I386" s="135" t="n"/>
      <c r="J386" s="136" t="n"/>
      <c r="K386" s="132" t="n"/>
      <c r="L386" s="132" t="n"/>
      <c r="M386" s="137">
        <f>IF(OR(L386="",L386="PENDING"),"",IF(L386="P",I386,IF(L386="L",0,IF(G386&lt;0,I386+I386*100/ABS(G386),I386+I386*G386/100))))</f>
        <v/>
      </c>
      <c r="N386" s="138">
        <f>IF(OR(L386="",L386="PENDING"),"",IF(L386="P",0,IF(L386="L",-J386,IF(G386&lt;0,J386*100/ABS(G386),J386*G386/100))))</f>
        <v/>
      </c>
      <c r="O386" s="137">
        <f>IF(OR(L386="",L386="PENDING"),"",IF(L386="P",0,M386-I386))</f>
        <v/>
      </c>
    </row>
    <row r="387" ht="18" customHeight="1" s="91">
      <c r="A387" s="139">
        <f>IF(C387="","",ROW()-7)</f>
        <v/>
      </c>
      <c r="B387" s="140" t="n"/>
      <c r="C387" s="140" t="n"/>
      <c r="D387" s="141" t="n"/>
      <c r="E387" s="141" t="n"/>
      <c r="F387" s="140" t="n"/>
      <c r="G387" s="142" t="n"/>
      <c r="H387" s="140" t="n"/>
      <c r="I387" s="143" t="n"/>
      <c r="J387" s="144" t="n"/>
      <c r="K387" s="140" t="n"/>
      <c r="L387" s="140" t="n"/>
      <c r="M387" s="145">
        <f>IF(OR(L387="",L387="PENDING"),"",IF(L387="P",I387,IF(L387="L",0,IF(G387&lt;0,I387+I387*100/ABS(G387),I387+I387*G387/100))))</f>
        <v/>
      </c>
      <c r="N387" s="146">
        <f>IF(OR(L387="",L387="PENDING"),"",IF(L387="P",0,IF(L387="L",-J387,IF(G387&lt;0,J387*100/ABS(G387),J387*G387/100))))</f>
        <v/>
      </c>
      <c r="O387" s="145">
        <f>IF(OR(L387="",L387="PENDING"),"",IF(L387="P",0,M387-I387))</f>
        <v/>
      </c>
    </row>
    <row r="388" ht="18" customHeight="1" s="91">
      <c r="A388" s="131">
        <f>IF(C388="","",ROW()-7)</f>
        <v/>
      </c>
      <c r="B388" s="132" t="n"/>
      <c r="C388" s="132" t="n"/>
      <c r="D388" s="133" t="n"/>
      <c r="E388" s="133" t="n"/>
      <c r="F388" s="132" t="n"/>
      <c r="G388" s="134" t="n"/>
      <c r="H388" s="132" t="n"/>
      <c r="I388" s="135" t="n"/>
      <c r="J388" s="136" t="n"/>
      <c r="K388" s="132" t="n"/>
      <c r="L388" s="132" t="n"/>
      <c r="M388" s="137">
        <f>IF(OR(L388="",L388="PENDING"),"",IF(L388="P",I388,IF(L388="L",0,IF(G388&lt;0,I388+I388*100/ABS(G388),I388+I388*G388/100))))</f>
        <v/>
      </c>
      <c r="N388" s="138">
        <f>IF(OR(L388="",L388="PENDING"),"",IF(L388="P",0,IF(L388="L",-J388,IF(G388&lt;0,J388*100/ABS(G388),J388*G388/100))))</f>
        <v/>
      </c>
      <c r="O388" s="137">
        <f>IF(OR(L388="",L388="PENDING"),"",IF(L388="P",0,M388-I388))</f>
        <v/>
      </c>
    </row>
    <row r="389" ht="18" customHeight="1" s="91">
      <c r="A389" s="139">
        <f>IF(C389="","",ROW()-7)</f>
        <v/>
      </c>
      <c r="B389" s="140" t="n"/>
      <c r="C389" s="140" t="n"/>
      <c r="D389" s="141" t="n"/>
      <c r="E389" s="141" t="n"/>
      <c r="F389" s="140" t="n"/>
      <c r="G389" s="142" t="n"/>
      <c r="H389" s="140" t="n"/>
      <c r="I389" s="143" t="n"/>
      <c r="J389" s="144" t="n"/>
      <c r="K389" s="140" t="n"/>
      <c r="L389" s="140" t="n"/>
      <c r="M389" s="145">
        <f>IF(OR(L389="",L389="PENDING"),"",IF(L389="P",I389,IF(L389="L",0,IF(G389&lt;0,I389+I389*100/ABS(G389),I389+I389*G389/100))))</f>
        <v/>
      </c>
      <c r="N389" s="146">
        <f>IF(OR(L389="",L389="PENDING"),"",IF(L389="P",0,IF(L389="L",-J389,IF(G389&lt;0,J389*100/ABS(G389),J389*G389/100))))</f>
        <v/>
      </c>
      <c r="O389" s="145">
        <f>IF(OR(L389="",L389="PENDING"),"",IF(L389="P",0,M389-I389))</f>
        <v/>
      </c>
    </row>
    <row r="390" ht="18" customHeight="1" s="91">
      <c r="A390" s="131">
        <f>IF(C390="","",ROW()-7)</f>
        <v/>
      </c>
      <c r="B390" s="132" t="n"/>
      <c r="C390" s="132" t="n"/>
      <c r="D390" s="133" t="n"/>
      <c r="E390" s="133" t="n"/>
      <c r="F390" s="132" t="n"/>
      <c r="G390" s="134" t="n"/>
      <c r="H390" s="132" t="n"/>
      <c r="I390" s="135" t="n"/>
      <c r="J390" s="136" t="n"/>
      <c r="K390" s="132" t="n"/>
      <c r="L390" s="132" t="n"/>
      <c r="M390" s="137">
        <f>IF(OR(L390="",L390="PENDING"),"",IF(L390="P",I390,IF(L390="L",0,IF(G390&lt;0,I390+I390*100/ABS(G390),I390+I390*G390/100))))</f>
        <v/>
      </c>
      <c r="N390" s="138">
        <f>IF(OR(L390="",L390="PENDING"),"",IF(L390="P",0,IF(L390="L",-J390,IF(G390&lt;0,J390*100/ABS(G390),J390*G390/100))))</f>
        <v/>
      </c>
      <c r="O390" s="137">
        <f>IF(OR(L390="",L390="PENDING"),"",IF(L390="P",0,M390-I390))</f>
        <v/>
      </c>
    </row>
    <row r="391" ht="18" customHeight="1" s="91">
      <c r="A391" s="139">
        <f>IF(C391="","",ROW()-7)</f>
        <v/>
      </c>
      <c r="B391" s="140" t="n"/>
      <c r="C391" s="140" t="n"/>
      <c r="D391" s="141" t="n"/>
      <c r="E391" s="141" t="n"/>
      <c r="F391" s="140" t="n"/>
      <c r="G391" s="142" t="n"/>
      <c r="H391" s="140" t="n"/>
      <c r="I391" s="143" t="n"/>
      <c r="J391" s="144" t="n"/>
      <c r="K391" s="140" t="n"/>
      <c r="L391" s="140" t="n"/>
      <c r="M391" s="145">
        <f>IF(OR(L391="",L391="PENDING"),"",IF(L391="P",I391,IF(L391="L",0,IF(G391&lt;0,I391+I391*100/ABS(G391),I391+I391*G391/100))))</f>
        <v/>
      </c>
      <c r="N391" s="146">
        <f>IF(OR(L391="",L391="PENDING"),"",IF(L391="P",0,IF(L391="L",-J391,IF(G391&lt;0,J391*100/ABS(G391),J391*G391/100))))</f>
        <v/>
      </c>
      <c r="O391" s="145">
        <f>IF(OR(L391="",L391="PENDING"),"",IF(L391="P",0,M391-I391))</f>
        <v/>
      </c>
    </row>
    <row r="392" ht="18" customHeight="1" s="91">
      <c r="A392" s="131">
        <f>IF(C392="","",ROW()-7)</f>
        <v/>
      </c>
      <c r="B392" s="132" t="n"/>
      <c r="C392" s="132" t="n"/>
      <c r="D392" s="133" t="n"/>
      <c r="E392" s="133" t="n"/>
      <c r="F392" s="132" t="n"/>
      <c r="G392" s="134" t="n"/>
      <c r="H392" s="132" t="n"/>
      <c r="I392" s="135" t="n"/>
      <c r="J392" s="136" t="n"/>
      <c r="K392" s="132" t="n"/>
      <c r="L392" s="132" t="n"/>
      <c r="M392" s="137">
        <f>IF(OR(L392="",L392="PENDING"),"",IF(L392="P",I392,IF(L392="L",0,IF(G392&lt;0,I392+I392*100/ABS(G392),I392+I392*G392/100))))</f>
        <v/>
      </c>
      <c r="N392" s="138">
        <f>IF(OR(L392="",L392="PENDING"),"",IF(L392="P",0,IF(L392="L",-J392,IF(G392&lt;0,J392*100/ABS(G392),J392*G392/100))))</f>
        <v/>
      </c>
      <c r="O392" s="137">
        <f>IF(OR(L392="",L392="PENDING"),"",IF(L392="P",0,M392-I392))</f>
        <v/>
      </c>
    </row>
    <row r="393" ht="18" customHeight="1" s="91">
      <c r="A393" s="139">
        <f>IF(C393="","",ROW()-7)</f>
        <v/>
      </c>
      <c r="B393" s="140" t="n"/>
      <c r="C393" s="140" t="n"/>
      <c r="D393" s="141" t="n"/>
      <c r="E393" s="141" t="n"/>
      <c r="F393" s="140" t="n"/>
      <c r="G393" s="142" t="n"/>
      <c r="H393" s="140" t="n"/>
      <c r="I393" s="143" t="n"/>
      <c r="J393" s="144" t="n"/>
      <c r="K393" s="140" t="n"/>
      <c r="L393" s="140" t="n"/>
      <c r="M393" s="145">
        <f>IF(OR(L393="",L393="PENDING"),"",IF(L393="P",I393,IF(L393="L",0,IF(G393&lt;0,I393+I393*100/ABS(G393),I393+I393*G393/100))))</f>
        <v/>
      </c>
      <c r="N393" s="146">
        <f>IF(OR(L393="",L393="PENDING"),"",IF(L393="P",0,IF(L393="L",-J393,IF(G393&lt;0,J393*100/ABS(G393),J393*G393/100))))</f>
        <v/>
      </c>
      <c r="O393" s="145">
        <f>IF(OR(L393="",L393="PENDING"),"",IF(L393="P",0,M393-I393))</f>
        <v/>
      </c>
    </row>
    <row r="394" ht="18" customHeight="1" s="91">
      <c r="A394" s="131">
        <f>IF(C394="","",ROW()-7)</f>
        <v/>
      </c>
      <c r="B394" s="132" t="n"/>
      <c r="C394" s="132" t="n"/>
      <c r="D394" s="133" t="n"/>
      <c r="E394" s="133" t="n"/>
      <c r="F394" s="132" t="n"/>
      <c r="G394" s="134" t="n"/>
      <c r="H394" s="132" t="n"/>
      <c r="I394" s="135" t="n"/>
      <c r="J394" s="136" t="n"/>
      <c r="K394" s="132" t="n"/>
      <c r="L394" s="132" t="n"/>
      <c r="M394" s="137">
        <f>IF(OR(L394="",L394="PENDING"),"",IF(L394="P",I394,IF(L394="L",0,IF(G394&lt;0,I394+I394*100/ABS(G394),I394+I394*G394/100))))</f>
        <v/>
      </c>
      <c r="N394" s="138">
        <f>IF(OR(L394="",L394="PENDING"),"",IF(L394="P",0,IF(L394="L",-J394,IF(G394&lt;0,J394*100/ABS(G394),J394*G394/100))))</f>
        <v/>
      </c>
      <c r="O394" s="137">
        <f>IF(OR(L394="",L394="PENDING"),"",IF(L394="P",0,M394-I394))</f>
        <v/>
      </c>
    </row>
    <row r="395" ht="18" customHeight="1" s="91">
      <c r="A395" s="139">
        <f>IF(C395="","",ROW()-7)</f>
        <v/>
      </c>
      <c r="B395" s="140" t="n"/>
      <c r="C395" s="140" t="n"/>
      <c r="D395" s="141" t="n"/>
      <c r="E395" s="141" t="n"/>
      <c r="F395" s="140" t="n"/>
      <c r="G395" s="142" t="n"/>
      <c r="H395" s="140" t="n"/>
      <c r="I395" s="143" t="n"/>
      <c r="J395" s="144" t="n"/>
      <c r="K395" s="140" t="n"/>
      <c r="L395" s="140" t="n"/>
      <c r="M395" s="145">
        <f>IF(OR(L395="",L395="PENDING"),"",IF(L395="P",I395,IF(L395="L",0,IF(G395&lt;0,I395+I395*100/ABS(G395),I395+I395*G395/100))))</f>
        <v/>
      </c>
      <c r="N395" s="146">
        <f>IF(OR(L395="",L395="PENDING"),"",IF(L395="P",0,IF(L395="L",-J395,IF(G395&lt;0,J395*100/ABS(G395),J395*G395/100))))</f>
        <v/>
      </c>
      <c r="O395" s="145">
        <f>IF(OR(L395="",L395="PENDING"),"",IF(L395="P",0,M395-I395))</f>
        <v/>
      </c>
    </row>
    <row r="396" ht="18" customHeight="1" s="91">
      <c r="A396" s="131">
        <f>IF(C396="","",ROW()-7)</f>
        <v/>
      </c>
      <c r="B396" s="132" t="n"/>
      <c r="C396" s="132" t="n"/>
      <c r="D396" s="133" t="n"/>
      <c r="E396" s="133" t="n"/>
      <c r="F396" s="132" t="n"/>
      <c r="G396" s="134" t="n"/>
      <c r="H396" s="132" t="n"/>
      <c r="I396" s="135" t="n"/>
      <c r="J396" s="136" t="n"/>
      <c r="K396" s="132" t="n"/>
      <c r="L396" s="132" t="n"/>
      <c r="M396" s="137">
        <f>IF(OR(L396="",L396="PENDING"),"",IF(L396="P",I396,IF(L396="L",0,IF(G396&lt;0,I396+I396*100/ABS(G396),I396+I396*G396/100))))</f>
        <v/>
      </c>
      <c r="N396" s="138">
        <f>IF(OR(L396="",L396="PENDING"),"",IF(L396="P",0,IF(L396="L",-J396,IF(G396&lt;0,J396*100/ABS(G396),J396*G396/100))))</f>
        <v/>
      </c>
      <c r="O396" s="137">
        <f>IF(OR(L396="",L396="PENDING"),"",IF(L396="P",0,M396-I396))</f>
        <v/>
      </c>
    </row>
    <row r="397" ht="18" customHeight="1" s="91">
      <c r="A397" s="139">
        <f>IF(C397="","",ROW()-7)</f>
        <v/>
      </c>
      <c r="B397" s="140" t="n"/>
      <c r="C397" s="140" t="n"/>
      <c r="D397" s="141" t="n"/>
      <c r="E397" s="141" t="n"/>
      <c r="F397" s="140" t="n"/>
      <c r="G397" s="142" t="n"/>
      <c r="H397" s="140" t="n"/>
      <c r="I397" s="143" t="n"/>
      <c r="J397" s="144" t="n"/>
      <c r="K397" s="140" t="n"/>
      <c r="L397" s="140" t="n"/>
      <c r="M397" s="145">
        <f>IF(OR(L397="",L397="PENDING"),"",IF(L397="P",I397,IF(L397="L",0,IF(G397&lt;0,I397+I397*100/ABS(G397),I397+I397*G397/100))))</f>
        <v/>
      </c>
      <c r="N397" s="146">
        <f>IF(OR(L397="",L397="PENDING"),"",IF(L397="P",0,IF(L397="L",-J397,IF(G397&lt;0,J397*100/ABS(G397),J397*G397/100))))</f>
        <v/>
      </c>
      <c r="O397" s="145">
        <f>IF(OR(L397="",L397="PENDING"),"",IF(L397="P",0,M397-I397))</f>
        <v/>
      </c>
    </row>
    <row r="398" ht="18" customHeight="1" s="91">
      <c r="A398" s="131">
        <f>IF(C398="","",ROW()-7)</f>
        <v/>
      </c>
      <c r="B398" s="132" t="n"/>
      <c r="C398" s="132" t="n"/>
      <c r="D398" s="133" t="n"/>
      <c r="E398" s="133" t="n"/>
      <c r="F398" s="132" t="n"/>
      <c r="G398" s="134" t="n"/>
      <c r="H398" s="132" t="n"/>
      <c r="I398" s="135" t="n"/>
      <c r="J398" s="136" t="n"/>
      <c r="K398" s="132" t="n"/>
      <c r="L398" s="132" t="n"/>
      <c r="M398" s="137">
        <f>IF(OR(L398="",L398="PENDING"),"",IF(L398="P",I398,IF(L398="L",0,IF(G398&lt;0,I398+I398*100/ABS(G398),I398+I398*G398/100))))</f>
        <v/>
      </c>
      <c r="N398" s="138">
        <f>IF(OR(L398="",L398="PENDING"),"",IF(L398="P",0,IF(L398="L",-J398,IF(G398&lt;0,J398*100/ABS(G398),J398*G398/100))))</f>
        <v/>
      </c>
      <c r="O398" s="137">
        <f>IF(OR(L398="",L398="PENDING"),"",IF(L398="P",0,M398-I398))</f>
        <v/>
      </c>
    </row>
    <row r="399" ht="18" customHeight="1" s="91">
      <c r="A399" s="139">
        <f>IF(C399="","",ROW()-7)</f>
        <v/>
      </c>
      <c r="B399" s="140" t="n"/>
      <c r="C399" s="140" t="n"/>
      <c r="D399" s="141" t="n"/>
      <c r="E399" s="141" t="n"/>
      <c r="F399" s="140" t="n"/>
      <c r="G399" s="142" t="n"/>
      <c r="H399" s="140" t="n"/>
      <c r="I399" s="143" t="n"/>
      <c r="J399" s="144" t="n"/>
      <c r="K399" s="140" t="n"/>
      <c r="L399" s="140" t="n"/>
      <c r="M399" s="145">
        <f>IF(OR(L399="",L399="PENDING"),"",IF(L399="P",I399,IF(L399="L",0,IF(G399&lt;0,I399+I399*100/ABS(G399),I399+I399*G399/100))))</f>
        <v/>
      </c>
      <c r="N399" s="146">
        <f>IF(OR(L399="",L399="PENDING"),"",IF(L399="P",0,IF(L399="L",-J399,IF(G399&lt;0,J399*100/ABS(G399),J399*G399/100))))</f>
        <v/>
      </c>
      <c r="O399" s="145">
        <f>IF(OR(L399="",L399="PENDING"),"",IF(L399="P",0,M399-I399))</f>
        <v/>
      </c>
    </row>
    <row r="400" ht="18" customHeight="1" s="91">
      <c r="A400" s="131">
        <f>IF(C400="","",ROW()-7)</f>
        <v/>
      </c>
      <c r="B400" s="132" t="n"/>
      <c r="C400" s="132" t="n"/>
      <c r="D400" s="133" t="n"/>
      <c r="E400" s="133" t="n"/>
      <c r="F400" s="132" t="n"/>
      <c r="G400" s="134" t="n"/>
      <c r="H400" s="132" t="n"/>
      <c r="I400" s="135" t="n"/>
      <c r="J400" s="136" t="n"/>
      <c r="K400" s="132" t="n"/>
      <c r="L400" s="132" t="n"/>
      <c r="M400" s="137">
        <f>IF(OR(L400="",L400="PENDING"),"",IF(L400="P",I400,IF(L400="L",0,IF(G400&lt;0,I400+I400*100/ABS(G400),I400+I400*G400/100))))</f>
        <v/>
      </c>
      <c r="N400" s="138">
        <f>IF(OR(L400="",L400="PENDING"),"",IF(L400="P",0,IF(L400="L",-J400,IF(G400&lt;0,J400*100/ABS(G400),J400*G400/100))))</f>
        <v/>
      </c>
      <c r="O400" s="137">
        <f>IF(OR(L400="",L400="PENDING"),"",IF(L400="P",0,M400-I400))</f>
        <v/>
      </c>
    </row>
    <row r="401" ht="18" customHeight="1" s="91">
      <c r="A401" s="139">
        <f>IF(C401="","",ROW()-7)</f>
        <v/>
      </c>
      <c r="B401" s="140" t="n"/>
      <c r="C401" s="140" t="n"/>
      <c r="D401" s="141" t="n"/>
      <c r="E401" s="141" t="n"/>
      <c r="F401" s="140" t="n"/>
      <c r="G401" s="142" t="n"/>
      <c r="H401" s="140" t="n"/>
      <c r="I401" s="143" t="n"/>
      <c r="J401" s="144" t="n"/>
      <c r="K401" s="140" t="n"/>
      <c r="L401" s="140" t="n"/>
      <c r="M401" s="145">
        <f>IF(OR(L401="",L401="PENDING"),"",IF(L401="P",I401,IF(L401="L",0,IF(G401&lt;0,I401+I401*100/ABS(G401),I401+I401*G401/100))))</f>
        <v/>
      </c>
      <c r="N401" s="146">
        <f>IF(OR(L401="",L401="PENDING"),"",IF(L401="P",0,IF(L401="L",-J401,IF(G401&lt;0,J401*100/ABS(G401),J401*G401/100))))</f>
        <v/>
      </c>
      <c r="O401" s="145">
        <f>IF(OR(L401="",L401="PENDING"),"",IF(L401="P",0,M401-I401))</f>
        <v/>
      </c>
    </row>
    <row r="402" ht="18" customHeight="1" s="91">
      <c r="A402" s="131">
        <f>IF(C402="","",ROW()-7)</f>
        <v/>
      </c>
      <c r="B402" s="132" t="n"/>
      <c r="C402" s="132" t="n"/>
      <c r="D402" s="133" t="n"/>
      <c r="E402" s="133" t="n"/>
      <c r="F402" s="132" t="n"/>
      <c r="G402" s="134" t="n"/>
      <c r="H402" s="132" t="n"/>
      <c r="I402" s="135" t="n"/>
      <c r="J402" s="136" t="n"/>
      <c r="K402" s="132" t="n"/>
      <c r="L402" s="132" t="n"/>
      <c r="M402" s="137">
        <f>IF(OR(L402="",L402="PENDING"),"",IF(L402="P",I402,IF(L402="L",0,IF(G402&lt;0,I402+I402*100/ABS(G402),I402+I402*G402/100))))</f>
        <v/>
      </c>
      <c r="N402" s="138">
        <f>IF(OR(L402="",L402="PENDING"),"",IF(L402="P",0,IF(L402="L",-J402,IF(G402&lt;0,J402*100/ABS(G402),J402*G402/100))))</f>
        <v/>
      </c>
      <c r="O402" s="137">
        <f>IF(OR(L402="",L402="PENDING"),"",IF(L402="P",0,M402-I402))</f>
        <v/>
      </c>
    </row>
    <row r="403" ht="18" customHeight="1" s="91">
      <c r="A403" s="139">
        <f>IF(C403="","",ROW()-7)</f>
        <v/>
      </c>
      <c r="B403" s="140" t="n"/>
      <c r="C403" s="140" t="n"/>
      <c r="D403" s="141" t="n"/>
      <c r="E403" s="141" t="n"/>
      <c r="F403" s="140" t="n"/>
      <c r="G403" s="142" t="n"/>
      <c r="H403" s="140" t="n"/>
      <c r="I403" s="143" t="n"/>
      <c r="J403" s="144" t="n"/>
      <c r="K403" s="140" t="n"/>
      <c r="L403" s="140" t="n"/>
      <c r="M403" s="145">
        <f>IF(OR(L403="",L403="PENDING"),"",IF(L403="P",I403,IF(L403="L",0,IF(G403&lt;0,I403+I403*100/ABS(G403),I403+I403*G403/100))))</f>
        <v/>
      </c>
      <c r="N403" s="146">
        <f>IF(OR(L403="",L403="PENDING"),"",IF(L403="P",0,IF(L403="L",-J403,IF(G403&lt;0,J403*100/ABS(G403),J403*G403/100))))</f>
        <v/>
      </c>
      <c r="O403" s="145">
        <f>IF(OR(L403="",L403="PENDING"),"",IF(L403="P",0,M403-I403))</f>
        <v/>
      </c>
    </row>
    <row r="404" ht="18" customHeight="1" s="91">
      <c r="A404" s="131">
        <f>IF(C404="","",ROW()-7)</f>
        <v/>
      </c>
      <c r="B404" s="132" t="n"/>
      <c r="C404" s="132" t="n"/>
      <c r="D404" s="133" t="n"/>
      <c r="E404" s="133" t="n"/>
      <c r="F404" s="132" t="n"/>
      <c r="G404" s="134" t="n"/>
      <c r="H404" s="132" t="n"/>
      <c r="I404" s="135" t="n"/>
      <c r="J404" s="136" t="n"/>
      <c r="K404" s="132" t="n"/>
      <c r="L404" s="132" t="n"/>
      <c r="M404" s="137">
        <f>IF(OR(L404="",L404="PENDING"),"",IF(L404="P",I404,IF(L404="L",0,IF(G404&lt;0,I404+I404*100/ABS(G404),I404+I404*G404/100))))</f>
        <v/>
      </c>
      <c r="N404" s="138">
        <f>IF(OR(L404="",L404="PENDING"),"",IF(L404="P",0,IF(L404="L",-J404,IF(G404&lt;0,J404*100/ABS(G404),J404*G404/100))))</f>
        <v/>
      </c>
      <c r="O404" s="137">
        <f>IF(OR(L404="",L404="PENDING"),"",IF(L404="P",0,M404-I404))</f>
        <v/>
      </c>
    </row>
    <row r="405" ht="18" customHeight="1" s="91">
      <c r="A405" s="139">
        <f>IF(C405="","",ROW()-7)</f>
        <v/>
      </c>
      <c r="B405" s="140" t="n"/>
      <c r="C405" s="140" t="n"/>
      <c r="D405" s="141" t="n"/>
      <c r="E405" s="141" t="n"/>
      <c r="F405" s="140" t="n"/>
      <c r="G405" s="142" t="n"/>
      <c r="H405" s="140" t="n"/>
      <c r="I405" s="143" t="n"/>
      <c r="J405" s="144" t="n"/>
      <c r="K405" s="140" t="n"/>
      <c r="L405" s="140" t="n"/>
      <c r="M405" s="145">
        <f>IF(OR(L405="",L405="PENDING"),"",IF(L405="P",I405,IF(L405="L",0,IF(G405&lt;0,I405+I405*100/ABS(G405),I405+I405*G405/100))))</f>
        <v/>
      </c>
      <c r="N405" s="146">
        <f>IF(OR(L405="",L405="PENDING"),"",IF(L405="P",0,IF(L405="L",-J405,IF(G405&lt;0,J405*100/ABS(G405),J405*G405/100))))</f>
        <v/>
      </c>
      <c r="O405" s="145">
        <f>IF(OR(L405="",L405="PENDING"),"",IF(L405="P",0,M405-I405))</f>
        <v/>
      </c>
    </row>
    <row r="406" ht="18" customHeight="1" s="91">
      <c r="A406" s="131">
        <f>IF(C406="","",ROW()-7)</f>
        <v/>
      </c>
      <c r="B406" s="132" t="n"/>
      <c r="C406" s="132" t="n"/>
      <c r="D406" s="133" t="n"/>
      <c r="E406" s="133" t="n"/>
      <c r="F406" s="132" t="n"/>
      <c r="G406" s="134" t="n"/>
      <c r="H406" s="132" t="n"/>
      <c r="I406" s="135" t="n"/>
      <c r="J406" s="136" t="n"/>
      <c r="K406" s="132" t="n"/>
      <c r="L406" s="132" t="n"/>
      <c r="M406" s="137">
        <f>IF(OR(L406="",L406="PENDING"),"",IF(L406="P",I406,IF(L406="L",0,IF(G406&lt;0,I406+I406*100/ABS(G406),I406+I406*G406/100))))</f>
        <v/>
      </c>
      <c r="N406" s="138">
        <f>IF(OR(L406="",L406="PENDING"),"",IF(L406="P",0,IF(L406="L",-J406,IF(G406&lt;0,J406*100/ABS(G406),J406*G406/100))))</f>
        <v/>
      </c>
      <c r="O406" s="137">
        <f>IF(OR(L406="",L406="PENDING"),"",IF(L406="P",0,M406-I406))</f>
        <v/>
      </c>
    </row>
    <row r="407" ht="18" customHeight="1" s="91">
      <c r="A407" s="139">
        <f>IF(C407="","",ROW()-7)</f>
        <v/>
      </c>
      <c r="B407" s="140" t="n"/>
      <c r="C407" s="140" t="n"/>
      <c r="D407" s="141" t="n"/>
      <c r="E407" s="141" t="n"/>
      <c r="F407" s="140" t="n"/>
      <c r="G407" s="142" t="n"/>
      <c r="H407" s="140" t="n"/>
      <c r="I407" s="143" t="n"/>
      <c r="J407" s="144" t="n"/>
      <c r="K407" s="140" t="n"/>
      <c r="L407" s="140" t="n"/>
      <c r="M407" s="145">
        <f>IF(OR(L407="",L407="PENDING"),"",IF(L407="P",I407,IF(L407="L",0,IF(G407&lt;0,I407+I407*100/ABS(G407),I407+I407*G407/100))))</f>
        <v/>
      </c>
      <c r="N407" s="146">
        <f>IF(OR(L407="",L407="PENDING"),"",IF(L407="P",0,IF(L407="L",-J407,IF(G407&lt;0,J407*100/ABS(G407),J407*G407/100))))</f>
        <v/>
      </c>
      <c r="O407" s="145">
        <f>IF(OR(L407="",L407="PENDING"),"",IF(L407="P",0,M407-I407))</f>
        <v/>
      </c>
    </row>
    <row r="408" ht="18" customHeight="1" s="91">
      <c r="A408" s="131">
        <f>IF(C408="","",ROW()-7)</f>
        <v/>
      </c>
      <c r="B408" s="132" t="n"/>
      <c r="C408" s="132" t="n"/>
      <c r="D408" s="133" t="n"/>
      <c r="E408" s="133" t="n"/>
      <c r="F408" s="132" t="n"/>
      <c r="G408" s="134" t="n"/>
      <c r="H408" s="132" t="n"/>
      <c r="I408" s="135" t="n"/>
      <c r="J408" s="136" t="n"/>
      <c r="K408" s="132" t="n"/>
      <c r="L408" s="132" t="n"/>
      <c r="M408" s="137">
        <f>IF(OR(L408="",L408="PENDING"),"",IF(L408="P",I408,IF(L408="L",0,IF(G408&lt;0,I408+I408*100/ABS(G408),I408+I408*G408/100))))</f>
        <v/>
      </c>
      <c r="N408" s="138">
        <f>IF(OR(L408="",L408="PENDING"),"",IF(L408="P",0,IF(L408="L",-J408,IF(G408&lt;0,J408*100/ABS(G408),J408*G408/100))))</f>
        <v/>
      </c>
      <c r="O408" s="137">
        <f>IF(OR(L408="",L408="PENDING"),"",IF(L408="P",0,M408-I408))</f>
        <v/>
      </c>
    </row>
    <row r="409" ht="18" customHeight="1" s="91">
      <c r="A409" s="139">
        <f>IF(C409="","",ROW()-7)</f>
        <v/>
      </c>
      <c r="B409" s="140" t="n"/>
      <c r="C409" s="140" t="n"/>
      <c r="D409" s="141" t="n"/>
      <c r="E409" s="141" t="n"/>
      <c r="F409" s="140" t="n"/>
      <c r="G409" s="142" t="n"/>
      <c r="H409" s="140" t="n"/>
      <c r="I409" s="143" t="n"/>
      <c r="J409" s="144" t="n"/>
      <c r="K409" s="140" t="n"/>
      <c r="L409" s="140" t="n"/>
      <c r="M409" s="145">
        <f>IF(OR(L409="",L409="PENDING"),"",IF(L409="P",I409,IF(L409="L",0,IF(G409&lt;0,I409+I409*100/ABS(G409),I409+I409*G409/100))))</f>
        <v/>
      </c>
      <c r="N409" s="146">
        <f>IF(OR(L409="",L409="PENDING"),"",IF(L409="P",0,IF(L409="L",-J409,IF(G409&lt;0,J409*100/ABS(G409),J409*G409/100))))</f>
        <v/>
      </c>
      <c r="O409" s="145">
        <f>IF(OR(L409="",L409="PENDING"),"",IF(L409="P",0,M409-I409))</f>
        <v/>
      </c>
    </row>
    <row r="410" ht="18" customHeight="1" s="91">
      <c r="A410" s="131">
        <f>IF(C410="","",ROW()-7)</f>
        <v/>
      </c>
      <c r="B410" s="132" t="n"/>
      <c r="C410" s="132" t="n"/>
      <c r="D410" s="133" t="n"/>
      <c r="E410" s="133" t="n"/>
      <c r="F410" s="132" t="n"/>
      <c r="G410" s="134" t="n"/>
      <c r="H410" s="132" t="n"/>
      <c r="I410" s="135" t="n"/>
      <c r="J410" s="136" t="n"/>
      <c r="K410" s="132" t="n"/>
      <c r="L410" s="132" t="n"/>
      <c r="M410" s="137">
        <f>IF(OR(L410="",L410="PENDING"),"",IF(L410="P",I410,IF(L410="L",0,IF(G410&lt;0,I410+I410*100/ABS(G410),I410+I410*G410/100))))</f>
        <v/>
      </c>
      <c r="N410" s="138">
        <f>IF(OR(L410="",L410="PENDING"),"",IF(L410="P",0,IF(L410="L",-J410,IF(G410&lt;0,J410*100/ABS(G410),J410*G410/100))))</f>
        <v/>
      </c>
      <c r="O410" s="137">
        <f>IF(OR(L410="",L410="PENDING"),"",IF(L410="P",0,M410-I410))</f>
        <v/>
      </c>
    </row>
    <row r="411" ht="18" customHeight="1" s="91">
      <c r="A411" s="139">
        <f>IF(C411="","",ROW()-7)</f>
        <v/>
      </c>
      <c r="B411" s="140" t="n"/>
      <c r="C411" s="140" t="n"/>
      <c r="D411" s="141" t="n"/>
      <c r="E411" s="141" t="n"/>
      <c r="F411" s="140" t="n"/>
      <c r="G411" s="142" t="n"/>
      <c r="H411" s="140" t="n"/>
      <c r="I411" s="143" t="n"/>
      <c r="J411" s="144" t="n"/>
      <c r="K411" s="140" t="n"/>
      <c r="L411" s="140" t="n"/>
      <c r="M411" s="145">
        <f>IF(OR(L411="",L411="PENDING"),"",IF(L411="P",I411,IF(L411="L",0,IF(G411&lt;0,I411+I411*100/ABS(G411),I411+I411*G411/100))))</f>
        <v/>
      </c>
      <c r="N411" s="146">
        <f>IF(OR(L411="",L411="PENDING"),"",IF(L411="P",0,IF(L411="L",-J411,IF(G411&lt;0,J411*100/ABS(G411),J411*G411/100))))</f>
        <v/>
      </c>
      <c r="O411" s="145">
        <f>IF(OR(L411="",L411="PENDING"),"",IF(L411="P",0,M411-I411))</f>
        <v/>
      </c>
    </row>
    <row r="412" ht="18" customHeight="1" s="91">
      <c r="A412" s="131">
        <f>IF(C412="","",ROW()-7)</f>
        <v/>
      </c>
      <c r="B412" s="132" t="n"/>
      <c r="C412" s="132" t="n"/>
      <c r="D412" s="133" t="n"/>
      <c r="E412" s="133" t="n"/>
      <c r="F412" s="132" t="n"/>
      <c r="G412" s="134" t="n"/>
      <c r="H412" s="132" t="n"/>
      <c r="I412" s="135" t="n"/>
      <c r="J412" s="136" t="n"/>
      <c r="K412" s="132" t="n"/>
      <c r="L412" s="132" t="n"/>
      <c r="M412" s="137">
        <f>IF(OR(L412="",L412="PENDING"),"",IF(L412="P",I412,IF(L412="L",0,IF(G412&lt;0,I412+I412*100/ABS(G412),I412+I412*G412/100))))</f>
        <v/>
      </c>
      <c r="N412" s="138">
        <f>IF(OR(L412="",L412="PENDING"),"",IF(L412="P",0,IF(L412="L",-J412,IF(G412&lt;0,J412*100/ABS(G412),J412*G412/100))))</f>
        <v/>
      </c>
      <c r="O412" s="137">
        <f>IF(OR(L412="",L412="PENDING"),"",IF(L412="P",0,M412-I412))</f>
        <v/>
      </c>
    </row>
    <row r="413" ht="18" customHeight="1" s="91">
      <c r="A413" s="139">
        <f>IF(C413="","",ROW()-7)</f>
        <v/>
      </c>
      <c r="B413" s="140" t="n"/>
      <c r="C413" s="140" t="n"/>
      <c r="D413" s="141" t="n"/>
      <c r="E413" s="141" t="n"/>
      <c r="F413" s="140" t="n"/>
      <c r="G413" s="142" t="n"/>
      <c r="H413" s="140" t="n"/>
      <c r="I413" s="143" t="n"/>
      <c r="J413" s="144" t="n"/>
      <c r="K413" s="140" t="n"/>
      <c r="L413" s="140" t="n"/>
      <c r="M413" s="145">
        <f>IF(OR(L413="",L413="PENDING"),"",IF(L413="P",I413,IF(L413="L",0,IF(G413&lt;0,I413+I413*100/ABS(G413),I413+I413*G413/100))))</f>
        <v/>
      </c>
      <c r="N413" s="146">
        <f>IF(OR(L413="",L413="PENDING"),"",IF(L413="P",0,IF(L413="L",-J413,IF(G413&lt;0,J413*100/ABS(G413),J413*G413/100))))</f>
        <v/>
      </c>
      <c r="O413" s="145">
        <f>IF(OR(L413="",L413="PENDING"),"",IF(L413="P",0,M413-I413))</f>
        <v/>
      </c>
    </row>
    <row r="414" ht="18" customHeight="1" s="91">
      <c r="A414" s="131">
        <f>IF(C414="","",ROW()-7)</f>
        <v/>
      </c>
      <c r="B414" s="132" t="n"/>
      <c r="C414" s="132" t="n"/>
      <c r="D414" s="133" t="n"/>
      <c r="E414" s="133" t="n"/>
      <c r="F414" s="132" t="n"/>
      <c r="G414" s="134" t="n"/>
      <c r="H414" s="132" t="n"/>
      <c r="I414" s="135" t="n"/>
      <c r="J414" s="136" t="n"/>
      <c r="K414" s="132" t="n"/>
      <c r="L414" s="132" t="n"/>
      <c r="M414" s="137">
        <f>IF(OR(L414="",L414="PENDING"),"",IF(L414="P",I414,IF(L414="L",0,IF(G414&lt;0,I414+I414*100/ABS(G414),I414+I414*G414/100))))</f>
        <v/>
      </c>
      <c r="N414" s="138">
        <f>IF(OR(L414="",L414="PENDING"),"",IF(L414="P",0,IF(L414="L",-J414,IF(G414&lt;0,J414*100/ABS(G414),J414*G414/100))))</f>
        <v/>
      </c>
      <c r="O414" s="137">
        <f>IF(OR(L414="",L414="PENDING"),"",IF(L414="P",0,M414-I414))</f>
        <v/>
      </c>
    </row>
    <row r="415" ht="18" customHeight="1" s="91">
      <c r="A415" s="139">
        <f>IF(C415="","",ROW()-7)</f>
        <v/>
      </c>
      <c r="B415" s="140" t="n"/>
      <c r="C415" s="140" t="n"/>
      <c r="D415" s="141" t="n"/>
      <c r="E415" s="141" t="n"/>
      <c r="F415" s="140" t="n"/>
      <c r="G415" s="142" t="n"/>
      <c r="H415" s="140" t="n"/>
      <c r="I415" s="143" t="n"/>
      <c r="J415" s="144" t="n"/>
      <c r="K415" s="140" t="n"/>
      <c r="L415" s="140" t="n"/>
      <c r="M415" s="145">
        <f>IF(OR(L415="",L415="PENDING"),"",IF(L415="P",I415,IF(L415="L",0,IF(G415&lt;0,I415+I415*100/ABS(G415),I415+I415*G415/100))))</f>
        <v/>
      </c>
      <c r="N415" s="146">
        <f>IF(OR(L415="",L415="PENDING"),"",IF(L415="P",0,IF(L415="L",-J415,IF(G415&lt;0,J415*100/ABS(G415),J415*G415/100))))</f>
        <v/>
      </c>
      <c r="O415" s="145">
        <f>IF(OR(L415="",L415="PENDING"),"",IF(L415="P",0,M415-I415))</f>
        <v/>
      </c>
    </row>
    <row r="416" ht="18" customHeight="1" s="91">
      <c r="A416" s="131">
        <f>IF(C416="","",ROW()-7)</f>
        <v/>
      </c>
      <c r="B416" s="132" t="n"/>
      <c r="C416" s="132" t="n"/>
      <c r="D416" s="133" t="n"/>
      <c r="E416" s="133" t="n"/>
      <c r="F416" s="132" t="n"/>
      <c r="G416" s="134" t="n"/>
      <c r="H416" s="132" t="n"/>
      <c r="I416" s="135" t="n"/>
      <c r="J416" s="136" t="n"/>
      <c r="K416" s="132" t="n"/>
      <c r="L416" s="132" t="n"/>
      <c r="M416" s="137">
        <f>IF(OR(L416="",L416="PENDING"),"",IF(L416="P",I416,IF(L416="L",0,IF(G416&lt;0,I416+I416*100/ABS(G416),I416+I416*G416/100))))</f>
        <v/>
      </c>
      <c r="N416" s="138">
        <f>IF(OR(L416="",L416="PENDING"),"",IF(L416="P",0,IF(L416="L",-J416,IF(G416&lt;0,J416*100/ABS(G416),J416*G416/100))))</f>
        <v/>
      </c>
      <c r="O416" s="137">
        <f>IF(OR(L416="",L416="PENDING"),"",IF(L416="P",0,M416-I416))</f>
        <v/>
      </c>
    </row>
    <row r="417" ht="18" customHeight="1" s="91">
      <c r="A417" s="139">
        <f>IF(C417="","",ROW()-7)</f>
        <v/>
      </c>
      <c r="B417" s="140" t="n"/>
      <c r="C417" s="140" t="n"/>
      <c r="D417" s="141" t="n"/>
      <c r="E417" s="141" t="n"/>
      <c r="F417" s="140" t="n"/>
      <c r="G417" s="142" t="n"/>
      <c r="H417" s="140" t="n"/>
      <c r="I417" s="143" t="n"/>
      <c r="J417" s="144" t="n"/>
      <c r="K417" s="140" t="n"/>
      <c r="L417" s="140" t="n"/>
      <c r="M417" s="145">
        <f>IF(OR(L417="",L417="PENDING"),"",IF(L417="P",I417,IF(L417="L",0,IF(G417&lt;0,I417+I417*100/ABS(G417),I417+I417*G417/100))))</f>
        <v/>
      </c>
      <c r="N417" s="146">
        <f>IF(OR(L417="",L417="PENDING"),"",IF(L417="P",0,IF(L417="L",-J417,IF(G417&lt;0,J417*100/ABS(G417),J417*G417/100))))</f>
        <v/>
      </c>
      <c r="O417" s="145">
        <f>IF(OR(L417="",L417="PENDING"),"",IF(L417="P",0,M417-I417))</f>
        <v/>
      </c>
    </row>
    <row r="418" ht="18" customHeight="1" s="91">
      <c r="A418" s="131">
        <f>IF(C418="","",ROW()-7)</f>
        <v/>
      </c>
      <c r="B418" s="132" t="n"/>
      <c r="C418" s="132" t="n"/>
      <c r="D418" s="133" t="n"/>
      <c r="E418" s="133" t="n"/>
      <c r="F418" s="132" t="n"/>
      <c r="G418" s="134" t="n"/>
      <c r="H418" s="132" t="n"/>
      <c r="I418" s="135" t="n"/>
      <c r="J418" s="136" t="n"/>
      <c r="K418" s="132" t="n"/>
      <c r="L418" s="132" t="n"/>
      <c r="M418" s="137">
        <f>IF(OR(L418="",L418="PENDING"),"",IF(L418="P",I418,IF(L418="L",0,IF(G418&lt;0,I418+I418*100/ABS(G418),I418+I418*G418/100))))</f>
        <v/>
      </c>
      <c r="N418" s="138">
        <f>IF(OR(L418="",L418="PENDING"),"",IF(L418="P",0,IF(L418="L",-J418,IF(G418&lt;0,J418*100/ABS(G418),J418*G418/100))))</f>
        <v/>
      </c>
      <c r="O418" s="137">
        <f>IF(OR(L418="",L418="PENDING"),"",IF(L418="P",0,M418-I418))</f>
        <v/>
      </c>
    </row>
    <row r="419" ht="18" customHeight="1" s="91">
      <c r="A419" s="139">
        <f>IF(C419="","",ROW()-7)</f>
        <v/>
      </c>
      <c r="B419" s="140" t="n"/>
      <c r="C419" s="140" t="n"/>
      <c r="D419" s="141" t="n"/>
      <c r="E419" s="141" t="n"/>
      <c r="F419" s="140" t="n"/>
      <c r="G419" s="142" t="n"/>
      <c r="H419" s="140" t="n"/>
      <c r="I419" s="143" t="n"/>
      <c r="J419" s="144" t="n"/>
      <c r="K419" s="140" t="n"/>
      <c r="L419" s="140" t="n"/>
      <c r="M419" s="145">
        <f>IF(OR(L419="",L419="PENDING"),"",IF(L419="P",I419,IF(L419="L",0,IF(G419&lt;0,I419+I419*100/ABS(G419),I419+I419*G419/100))))</f>
        <v/>
      </c>
      <c r="N419" s="146">
        <f>IF(OR(L419="",L419="PENDING"),"",IF(L419="P",0,IF(L419="L",-J419,IF(G419&lt;0,J419*100/ABS(G419),J419*G419/100))))</f>
        <v/>
      </c>
      <c r="O419" s="145">
        <f>IF(OR(L419="",L419="PENDING"),"",IF(L419="P",0,M419-I419))</f>
        <v/>
      </c>
    </row>
    <row r="420" ht="18" customHeight="1" s="91">
      <c r="A420" s="131">
        <f>IF(C420="","",ROW()-7)</f>
        <v/>
      </c>
      <c r="B420" s="132" t="n"/>
      <c r="C420" s="132" t="n"/>
      <c r="D420" s="133" t="n"/>
      <c r="E420" s="133" t="n"/>
      <c r="F420" s="132" t="n"/>
      <c r="G420" s="134" t="n"/>
      <c r="H420" s="132" t="n"/>
      <c r="I420" s="135" t="n"/>
      <c r="J420" s="136" t="n"/>
      <c r="K420" s="132" t="n"/>
      <c r="L420" s="132" t="n"/>
      <c r="M420" s="137">
        <f>IF(OR(L420="",L420="PENDING"),"",IF(L420="P",I420,IF(L420="L",0,IF(G420&lt;0,I420+I420*100/ABS(G420),I420+I420*G420/100))))</f>
        <v/>
      </c>
      <c r="N420" s="138">
        <f>IF(OR(L420="",L420="PENDING"),"",IF(L420="P",0,IF(L420="L",-J420,IF(G420&lt;0,J420*100/ABS(G420),J420*G420/100))))</f>
        <v/>
      </c>
      <c r="O420" s="137">
        <f>IF(OR(L420="",L420="PENDING"),"",IF(L420="P",0,M420-I420))</f>
        <v/>
      </c>
    </row>
    <row r="421" ht="18" customHeight="1" s="91">
      <c r="A421" s="139">
        <f>IF(C421="","",ROW()-7)</f>
        <v/>
      </c>
      <c r="B421" s="140" t="n"/>
      <c r="C421" s="140" t="n"/>
      <c r="D421" s="141" t="n"/>
      <c r="E421" s="141" t="n"/>
      <c r="F421" s="140" t="n"/>
      <c r="G421" s="142" t="n"/>
      <c r="H421" s="140" t="n"/>
      <c r="I421" s="143" t="n"/>
      <c r="J421" s="144" t="n"/>
      <c r="K421" s="140" t="n"/>
      <c r="L421" s="140" t="n"/>
      <c r="M421" s="145">
        <f>IF(OR(L421="",L421="PENDING"),"",IF(L421="P",I421,IF(L421="L",0,IF(G421&lt;0,I421+I421*100/ABS(G421),I421+I421*G421/100))))</f>
        <v/>
      </c>
      <c r="N421" s="146">
        <f>IF(OR(L421="",L421="PENDING"),"",IF(L421="P",0,IF(L421="L",-J421,IF(G421&lt;0,J421*100/ABS(G421),J421*G421/100))))</f>
        <v/>
      </c>
      <c r="O421" s="145">
        <f>IF(OR(L421="",L421="PENDING"),"",IF(L421="P",0,M421-I421))</f>
        <v/>
      </c>
    </row>
    <row r="422" ht="18" customHeight="1" s="91">
      <c r="A422" s="131">
        <f>IF(C422="","",ROW()-7)</f>
        <v/>
      </c>
      <c r="B422" s="132" t="n"/>
      <c r="C422" s="132" t="n"/>
      <c r="D422" s="133" t="n"/>
      <c r="E422" s="133" t="n"/>
      <c r="F422" s="132" t="n"/>
      <c r="G422" s="134" t="n"/>
      <c r="H422" s="132" t="n"/>
      <c r="I422" s="135" t="n"/>
      <c r="J422" s="136" t="n"/>
      <c r="K422" s="132" t="n"/>
      <c r="L422" s="132" t="n"/>
      <c r="M422" s="137">
        <f>IF(OR(L422="",L422="PENDING"),"",IF(L422="P",I422,IF(L422="L",0,IF(G422&lt;0,I422+I422*100/ABS(G422),I422+I422*G422/100))))</f>
        <v/>
      </c>
      <c r="N422" s="138">
        <f>IF(OR(L422="",L422="PENDING"),"",IF(L422="P",0,IF(L422="L",-J422,IF(G422&lt;0,J422*100/ABS(G422),J422*G422/100))))</f>
        <v/>
      </c>
      <c r="O422" s="137">
        <f>IF(OR(L422="",L422="PENDING"),"",IF(L422="P",0,M422-I422))</f>
        <v/>
      </c>
    </row>
    <row r="423" ht="18" customHeight="1" s="91">
      <c r="A423" s="139">
        <f>IF(C423="","",ROW()-7)</f>
        <v/>
      </c>
      <c r="B423" s="140" t="n"/>
      <c r="C423" s="140" t="n"/>
      <c r="D423" s="141" t="n"/>
      <c r="E423" s="141" t="n"/>
      <c r="F423" s="140" t="n"/>
      <c r="G423" s="142" t="n"/>
      <c r="H423" s="140" t="n"/>
      <c r="I423" s="143" t="n"/>
      <c r="J423" s="144" t="n"/>
      <c r="K423" s="140" t="n"/>
      <c r="L423" s="140" t="n"/>
      <c r="M423" s="145">
        <f>IF(OR(L423="",L423="PENDING"),"",IF(L423="P",I423,IF(L423="L",0,IF(G423&lt;0,I423+I423*100/ABS(G423),I423+I423*G423/100))))</f>
        <v/>
      </c>
      <c r="N423" s="146">
        <f>IF(OR(L423="",L423="PENDING"),"",IF(L423="P",0,IF(L423="L",-J423,IF(G423&lt;0,J423*100/ABS(G423),J423*G423/100))))</f>
        <v/>
      </c>
      <c r="O423" s="145">
        <f>IF(OR(L423="",L423="PENDING"),"",IF(L423="P",0,M423-I423))</f>
        <v/>
      </c>
    </row>
    <row r="424" ht="18" customHeight="1" s="91">
      <c r="A424" s="131">
        <f>IF(C424="","",ROW()-7)</f>
        <v/>
      </c>
      <c r="B424" s="132" t="n"/>
      <c r="C424" s="132" t="n"/>
      <c r="D424" s="133" t="n"/>
      <c r="E424" s="133" t="n"/>
      <c r="F424" s="132" t="n"/>
      <c r="G424" s="134" t="n"/>
      <c r="H424" s="132" t="n"/>
      <c r="I424" s="135" t="n"/>
      <c r="J424" s="136" t="n"/>
      <c r="K424" s="132" t="n"/>
      <c r="L424" s="132" t="n"/>
      <c r="M424" s="137">
        <f>IF(OR(L424="",L424="PENDING"),"",IF(L424="P",I424,IF(L424="L",0,IF(G424&lt;0,I424+I424*100/ABS(G424),I424+I424*G424/100))))</f>
        <v/>
      </c>
      <c r="N424" s="138">
        <f>IF(OR(L424="",L424="PENDING"),"",IF(L424="P",0,IF(L424="L",-J424,IF(G424&lt;0,J424*100/ABS(G424),J424*G424/100))))</f>
        <v/>
      </c>
      <c r="O424" s="137">
        <f>IF(OR(L424="",L424="PENDING"),"",IF(L424="P",0,M424-I424))</f>
        <v/>
      </c>
    </row>
    <row r="425" ht="18" customHeight="1" s="91">
      <c r="A425" s="139">
        <f>IF(C425="","",ROW()-7)</f>
        <v/>
      </c>
      <c r="B425" s="140" t="n"/>
      <c r="C425" s="140" t="n"/>
      <c r="D425" s="141" t="n"/>
      <c r="E425" s="141" t="n"/>
      <c r="F425" s="140" t="n"/>
      <c r="G425" s="142" t="n"/>
      <c r="H425" s="140" t="n"/>
      <c r="I425" s="143" t="n"/>
      <c r="J425" s="144" t="n"/>
      <c r="K425" s="140" t="n"/>
      <c r="L425" s="140" t="n"/>
      <c r="M425" s="145">
        <f>IF(OR(L425="",L425="PENDING"),"",IF(L425="P",I425,IF(L425="L",0,IF(G425&lt;0,I425+I425*100/ABS(G425),I425+I425*G425/100))))</f>
        <v/>
      </c>
      <c r="N425" s="146">
        <f>IF(OR(L425="",L425="PENDING"),"",IF(L425="P",0,IF(L425="L",-J425,IF(G425&lt;0,J425*100/ABS(G425),J425*G425/100))))</f>
        <v/>
      </c>
      <c r="O425" s="145">
        <f>IF(OR(L425="",L425="PENDING"),"",IF(L425="P",0,M425-I425))</f>
        <v/>
      </c>
    </row>
    <row r="426" ht="18" customHeight="1" s="91">
      <c r="A426" s="131">
        <f>IF(C426="","",ROW()-7)</f>
        <v/>
      </c>
      <c r="B426" s="132" t="n"/>
      <c r="C426" s="132" t="n"/>
      <c r="D426" s="133" t="n"/>
      <c r="E426" s="133" t="n"/>
      <c r="F426" s="132" t="n"/>
      <c r="G426" s="134" t="n"/>
      <c r="H426" s="132" t="n"/>
      <c r="I426" s="135" t="n"/>
      <c r="J426" s="136" t="n"/>
      <c r="K426" s="132" t="n"/>
      <c r="L426" s="132" t="n"/>
      <c r="M426" s="137">
        <f>IF(OR(L426="",L426="PENDING"),"",IF(L426="P",I426,IF(L426="L",0,IF(G426&lt;0,I426+I426*100/ABS(G426),I426+I426*G426/100))))</f>
        <v/>
      </c>
      <c r="N426" s="138">
        <f>IF(OR(L426="",L426="PENDING"),"",IF(L426="P",0,IF(L426="L",-J426,IF(G426&lt;0,J426*100/ABS(G426),J426*G426/100))))</f>
        <v/>
      </c>
      <c r="O426" s="137">
        <f>IF(OR(L426="",L426="PENDING"),"",IF(L426="P",0,M426-I426))</f>
        <v/>
      </c>
    </row>
    <row r="427" ht="18" customHeight="1" s="91">
      <c r="A427" s="139">
        <f>IF(C427="","",ROW()-7)</f>
        <v/>
      </c>
      <c r="B427" s="140" t="n"/>
      <c r="C427" s="140" t="n"/>
      <c r="D427" s="141" t="n"/>
      <c r="E427" s="141" t="n"/>
      <c r="F427" s="140" t="n"/>
      <c r="G427" s="142" t="n"/>
      <c r="H427" s="140" t="n"/>
      <c r="I427" s="143" t="n"/>
      <c r="J427" s="144" t="n"/>
      <c r="K427" s="140" t="n"/>
      <c r="L427" s="140" t="n"/>
      <c r="M427" s="145">
        <f>IF(OR(L427="",L427="PENDING"),"",IF(L427="P",I427,IF(L427="L",0,IF(G427&lt;0,I427+I427*100/ABS(G427),I427+I427*G427/100))))</f>
        <v/>
      </c>
      <c r="N427" s="146">
        <f>IF(OR(L427="",L427="PENDING"),"",IF(L427="P",0,IF(L427="L",-J427,IF(G427&lt;0,J427*100/ABS(G427),J427*G427/100))))</f>
        <v/>
      </c>
      <c r="O427" s="145">
        <f>IF(OR(L427="",L427="PENDING"),"",IF(L427="P",0,M427-I427))</f>
        <v/>
      </c>
    </row>
    <row r="428" ht="18" customHeight="1" s="91">
      <c r="A428" s="131">
        <f>IF(C428="","",ROW()-7)</f>
        <v/>
      </c>
      <c r="B428" s="132" t="n"/>
      <c r="C428" s="132" t="n"/>
      <c r="D428" s="133" t="n"/>
      <c r="E428" s="133" t="n"/>
      <c r="F428" s="132" t="n"/>
      <c r="G428" s="134" t="n"/>
      <c r="H428" s="132" t="n"/>
      <c r="I428" s="135" t="n"/>
      <c r="J428" s="136" t="n"/>
      <c r="K428" s="132" t="n"/>
      <c r="L428" s="132" t="n"/>
      <c r="M428" s="137">
        <f>IF(OR(L428="",L428="PENDING"),"",IF(L428="P",I428,IF(L428="L",0,IF(G428&lt;0,I428+I428*100/ABS(G428),I428+I428*G428/100))))</f>
        <v/>
      </c>
      <c r="N428" s="138">
        <f>IF(OR(L428="",L428="PENDING"),"",IF(L428="P",0,IF(L428="L",-J428,IF(G428&lt;0,J428*100/ABS(G428),J428*G428/100))))</f>
        <v/>
      </c>
      <c r="O428" s="137">
        <f>IF(OR(L428="",L428="PENDING"),"",IF(L428="P",0,M428-I428))</f>
        <v/>
      </c>
    </row>
    <row r="429" ht="18" customHeight="1" s="91">
      <c r="A429" s="139">
        <f>IF(C429="","",ROW()-7)</f>
        <v/>
      </c>
      <c r="B429" s="140" t="n"/>
      <c r="C429" s="140" t="n"/>
      <c r="D429" s="141" t="n"/>
      <c r="E429" s="141" t="n"/>
      <c r="F429" s="140" t="n"/>
      <c r="G429" s="142" t="n"/>
      <c r="H429" s="140" t="n"/>
      <c r="I429" s="143" t="n"/>
      <c r="J429" s="144" t="n"/>
      <c r="K429" s="140" t="n"/>
      <c r="L429" s="140" t="n"/>
      <c r="M429" s="145">
        <f>IF(OR(L429="",L429="PENDING"),"",IF(L429="P",I429,IF(L429="L",0,IF(G429&lt;0,I429+I429*100/ABS(G429),I429+I429*G429/100))))</f>
        <v/>
      </c>
      <c r="N429" s="146">
        <f>IF(OR(L429="",L429="PENDING"),"",IF(L429="P",0,IF(L429="L",-J429,IF(G429&lt;0,J429*100/ABS(G429),J429*G429/100))))</f>
        <v/>
      </c>
      <c r="O429" s="145">
        <f>IF(OR(L429="",L429="PENDING"),"",IF(L429="P",0,M429-I429))</f>
        <v/>
      </c>
    </row>
    <row r="430" ht="18" customHeight="1" s="91">
      <c r="A430" s="131">
        <f>IF(C430="","",ROW()-7)</f>
        <v/>
      </c>
      <c r="B430" s="132" t="n"/>
      <c r="C430" s="132" t="n"/>
      <c r="D430" s="133" t="n"/>
      <c r="E430" s="133" t="n"/>
      <c r="F430" s="132" t="n"/>
      <c r="G430" s="134" t="n"/>
      <c r="H430" s="132" t="n"/>
      <c r="I430" s="135" t="n"/>
      <c r="J430" s="136" t="n"/>
      <c r="K430" s="132" t="n"/>
      <c r="L430" s="132" t="n"/>
      <c r="M430" s="137">
        <f>IF(OR(L430="",L430="PENDING"),"",IF(L430="P",I430,IF(L430="L",0,IF(G430&lt;0,I430+I430*100/ABS(G430),I430+I430*G430/100))))</f>
        <v/>
      </c>
      <c r="N430" s="138">
        <f>IF(OR(L430="",L430="PENDING"),"",IF(L430="P",0,IF(L430="L",-J430,IF(G430&lt;0,J430*100/ABS(G430),J430*G430/100))))</f>
        <v/>
      </c>
      <c r="O430" s="137">
        <f>IF(OR(L430="",L430="PENDING"),"",IF(L430="P",0,M430-I430))</f>
        <v/>
      </c>
    </row>
    <row r="431" ht="18" customHeight="1" s="91">
      <c r="A431" s="139">
        <f>IF(C431="","",ROW()-7)</f>
        <v/>
      </c>
      <c r="B431" s="140" t="n"/>
      <c r="C431" s="140" t="n"/>
      <c r="D431" s="141" t="n"/>
      <c r="E431" s="141" t="n"/>
      <c r="F431" s="140" t="n"/>
      <c r="G431" s="142" t="n"/>
      <c r="H431" s="140" t="n"/>
      <c r="I431" s="143" t="n"/>
      <c r="J431" s="144" t="n"/>
      <c r="K431" s="140" t="n"/>
      <c r="L431" s="140" t="n"/>
      <c r="M431" s="145">
        <f>IF(OR(L431="",L431="PENDING"),"",IF(L431="P",I431,IF(L431="L",0,IF(G431&lt;0,I431+I431*100/ABS(G431),I431+I431*G431/100))))</f>
        <v/>
      </c>
      <c r="N431" s="146">
        <f>IF(OR(L431="",L431="PENDING"),"",IF(L431="P",0,IF(L431="L",-J431,IF(G431&lt;0,J431*100/ABS(G431),J431*G431/100))))</f>
        <v/>
      </c>
      <c r="O431" s="145">
        <f>IF(OR(L431="",L431="PENDING"),"",IF(L431="P",0,M431-I431))</f>
        <v/>
      </c>
    </row>
    <row r="432" ht="18" customHeight="1" s="91">
      <c r="A432" s="131">
        <f>IF(C432="","",ROW()-7)</f>
        <v/>
      </c>
      <c r="B432" s="132" t="n"/>
      <c r="C432" s="132" t="n"/>
      <c r="D432" s="133" t="n"/>
      <c r="E432" s="133" t="n"/>
      <c r="F432" s="132" t="n"/>
      <c r="G432" s="134" t="n"/>
      <c r="H432" s="132" t="n"/>
      <c r="I432" s="135" t="n"/>
      <c r="J432" s="136" t="n"/>
      <c r="K432" s="132" t="n"/>
      <c r="L432" s="132" t="n"/>
      <c r="M432" s="137">
        <f>IF(OR(L432="",L432="PENDING"),"",IF(L432="P",I432,IF(L432="L",0,IF(G432&lt;0,I432+I432*100/ABS(G432),I432+I432*G432/100))))</f>
        <v/>
      </c>
      <c r="N432" s="138">
        <f>IF(OR(L432="",L432="PENDING"),"",IF(L432="P",0,IF(L432="L",-J432,IF(G432&lt;0,J432*100/ABS(G432),J432*G432/100))))</f>
        <v/>
      </c>
      <c r="O432" s="137">
        <f>IF(OR(L432="",L432="PENDING"),"",IF(L432="P",0,M432-I432))</f>
        <v/>
      </c>
    </row>
    <row r="433" ht="18" customHeight="1" s="91">
      <c r="A433" s="139">
        <f>IF(C433="","",ROW()-7)</f>
        <v/>
      </c>
      <c r="B433" s="140" t="n"/>
      <c r="C433" s="140" t="n"/>
      <c r="D433" s="141" t="n"/>
      <c r="E433" s="141" t="n"/>
      <c r="F433" s="140" t="n"/>
      <c r="G433" s="142" t="n"/>
      <c r="H433" s="140" t="n"/>
      <c r="I433" s="143" t="n"/>
      <c r="J433" s="144" t="n"/>
      <c r="K433" s="140" t="n"/>
      <c r="L433" s="140" t="n"/>
      <c r="M433" s="145">
        <f>IF(OR(L433="",L433="PENDING"),"",IF(L433="P",I433,IF(L433="L",0,IF(G433&lt;0,I433+I433*100/ABS(G433),I433+I433*G433/100))))</f>
        <v/>
      </c>
      <c r="N433" s="146">
        <f>IF(OR(L433="",L433="PENDING"),"",IF(L433="P",0,IF(L433="L",-J433,IF(G433&lt;0,J433*100/ABS(G433),J433*G433/100))))</f>
        <v/>
      </c>
      <c r="O433" s="145">
        <f>IF(OR(L433="",L433="PENDING"),"",IF(L433="P",0,M433-I433))</f>
        <v/>
      </c>
    </row>
    <row r="434" ht="18" customHeight="1" s="91">
      <c r="A434" s="131">
        <f>IF(C434="","",ROW()-7)</f>
        <v/>
      </c>
      <c r="B434" s="132" t="n"/>
      <c r="C434" s="132" t="n"/>
      <c r="D434" s="133" t="n"/>
      <c r="E434" s="133" t="n"/>
      <c r="F434" s="132" t="n"/>
      <c r="G434" s="134" t="n"/>
      <c r="H434" s="132" t="n"/>
      <c r="I434" s="135" t="n"/>
      <c r="J434" s="136" t="n"/>
      <c r="K434" s="132" t="n"/>
      <c r="L434" s="132" t="n"/>
      <c r="M434" s="137">
        <f>IF(OR(L434="",L434="PENDING"),"",IF(L434="P",I434,IF(L434="L",0,IF(G434&lt;0,I434+I434*100/ABS(G434),I434+I434*G434/100))))</f>
        <v/>
      </c>
      <c r="N434" s="138">
        <f>IF(OR(L434="",L434="PENDING"),"",IF(L434="P",0,IF(L434="L",-J434,IF(G434&lt;0,J434*100/ABS(G434),J434*G434/100))))</f>
        <v/>
      </c>
      <c r="O434" s="137">
        <f>IF(OR(L434="",L434="PENDING"),"",IF(L434="P",0,M434-I434))</f>
        <v/>
      </c>
    </row>
    <row r="435" ht="18" customHeight="1" s="91">
      <c r="A435" s="139">
        <f>IF(C435="","",ROW()-7)</f>
        <v/>
      </c>
      <c r="B435" s="140" t="n"/>
      <c r="C435" s="140" t="n"/>
      <c r="D435" s="141" t="n"/>
      <c r="E435" s="141" t="n"/>
      <c r="F435" s="140" t="n"/>
      <c r="G435" s="142" t="n"/>
      <c r="H435" s="140" t="n"/>
      <c r="I435" s="143" t="n"/>
      <c r="J435" s="144" t="n"/>
      <c r="K435" s="140" t="n"/>
      <c r="L435" s="140" t="n"/>
      <c r="M435" s="145">
        <f>IF(OR(L435="",L435="PENDING"),"",IF(L435="P",I435,IF(L435="L",0,IF(G435&lt;0,I435+I435*100/ABS(G435),I435+I435*G435/100))))</f>
        <v/>
      </c>
      <c r="N435" s="146">
        <f>IF(OR(L435="",L435="PENDING"),"",IF(L435="P",0,IF(L435="L",-J435,IF(G435&lt;0,J435*100/ABS(G435),J435*G435/100))))</f>
        <v/>
      </c>
      <c r="O435" s="145">
        <f>IF(OR(L435="",L435="PENDING"),"",IF(L435="P",0,M435-I435))</f>
        <v/>
      </c>
    </row>
    <row r="436" ht="18" customHeight="1" s="91">
      <c r="A436" s="131">
        <f>IF(C436="","",ROW()-7)</f>
        <v/>
      </c>
      <c r="B436" s="132" t="n"/>
      <c r="C436" s="132" t="n"/>
      <c r="D436" s="133" t="n"/>
      <c r="E436" s="133" t="n"/>
      <c r="F436" s="132" t="n"/>
      <c r="G436" s="134" t="n"/>
      <c r="H436" s="132" t="n"/>
      <c r="I436" s="135" t="n"/>
      <c r="J436" s="136" t="n"/>
      <c r="K436" s="132" t="n"/>
      <c r="L436" s="132" t="n"/>
      <c r="M436" s="137">
        <f>IF(OR(L436="",L436="PENDING"),"",IF(L436="P",I436,IF(L436="L",0,IF(G436&lt;0,I436+I436*100/ABS(G436),I436+I436*G436/100))))</f>
        <v/>
      </c>
      <c r="N436" s="138">
        <f>IF(OR(L436="",L436="PENDING"),"",IF(L436="P",0,IF(L436="L",-J436,IF(G436&lt;0,J436*100/ABS(G436),J436*G436/100))))</f>
        <v/>
      </c>
      <c r="O436" s="137">
        <f>IF(OR(L436="",L436="PENDING"),"",IF(L436="P",0,M436-I436))</f>
        <v/>
      </c>
    </row>
    <row r="437" ht="18" customHeight="1" s="91">
      <c r="A437" s="139">
        <f>IF(C437="","",ROW()-7)</f>
        <v/>
      </c>
      <c r="B437" s="140" t="n"/>
      <c r="C437" s="140" t="n"/>
      <c r="D437" s="141" t="n"/>
      <c r="E437" s="141" t="n"/>
      <c r="F437" s="140" t="n"/>
      <c r="G437" s="142" t="n"/>
      <c r="H437" s="140" t="n"/>
      <c r="I437" s="143" t="n"/>
      <c r="J437" s="144" t="n"/>
      <c r="K437" s="140" t="n"/>
      <c r="L437" s="140" t="n"/>
      <c r="M437" s="145">
        <f>IF(OR(L437="",L437="PENDING"),"",IF(L437="P",I437,IF(L437="L",0,IF(G437&lt;0,I437+I437*100/ABS(G437),I437+I437*G437/100))))</f>
        <v/>
      </c>
      <c r="N437" s="146">
        <f>IF(OR(L437="",L437="PENDING"),"",IF(L437="P",0,IF(L437="L",-J437,IF(G437&lt;0,J437*100/ABS(G437),J437*G437/100))))</f>
        <v/>
      </c>
      <c r="O437" s="145">
        <f>IF(OR(L437="",L437="PENDING"),"",IF(L437="P",0,M437-I437))</f>
        <v/>
      </c>
    </row>
    <row r="438" ht="18" customHeight="1" s="91">
      <c r="A438" s="131">
        <f>IF(C438="","",ROW()-7)</f>
        <v/>
      </c>
      <c r="B438" s="132" t="n"/>
      <c r="C438" s="132" t="n"/>
      <c r="D438" s="133" t="n"/>
      <c r="E438" s="133" t="n"/>
      <c r="F438" s="132" t="n"/>
      <c r="G438" s="134" t="n"/>
      <c r="H438" s="132" t="n"/>
      <c r="I438" s="135" t="n"/>
      <c r="J438" s="136" t="n"/>
      <c r="K438" s="132" t="n"/>
      <c r="L438" s="132" t="n"/>
      <c r="M438" s="137">
        <f>IF(OR(L438="",L438="PENDING"),"",IF(L438="P",I438,IF(L438="L",0,IF(G438&lt;0,I438+I438*100/ABS(G438),I438+I438*G438/100))))</f>
        <v/>
      </c>
      <c r="N438" s="138">
        <f>IF(OR(L438="",L438="PENDING"),"",IF(L438="P",0,IF(L438="L",-J438,IF(G438&lt;0,J438*100/ABS(G438),J438*G438/100))))</f>
        <v/>
      </c>
      <c r="O438" s="137">
        <f>IF(OR(L438="",L438="PENDING"),"",IF(L438="P",0,M438-I438))</f>
        <v/>
      </c>
    </row>
    <row r="439" ht="18" customHeight="1" s="91">
      <c r="A439" s="139">
        <f>IF(C439="","",ROW()-7)</f>
        <v/>
      </c>
      <c r="B439" s="140" t="n"/>
      <c r="C439" s="140" t="n"/>
      <c r="D439" s="141" t="n"/>
      <c r="E439" s="141" t="n"/>
      <c r="F439" s="140" t="n"/>
      <c r="G439" s="142" t="n"/>
      <c r="H439" s="140" t="n"/>
      <c r="I439" s="143" t="n"/>
      <c r="J439" s="144" t="n"/>
      <c r="K439" s="140" t="n"/>
      <c r="L439" s="140" t="n"/>
      <c r="M439" s="145">
        <f>IF(OR(L439="",L439="PENDING"),"",IF(L439="P",I439,IF(L439="L",0,IF(G439&lt;0,I439+I439*100/ABS(G439),I439+I439*G439/100))))</f>
        <v/>
      </c>
      <c r="N439" s="146">
        <f>IF(OR(L439="",L439="PENDING"),"",IF(L439="P",0,IF(L439="L",-J439,IF(G439&lt;0,J439*100/ABS(G439),J439*G439/100))))</f>
        <v/>
      </c>
      <c r="O439" s="145">
        <f>IF(OR(L439="",L439="PENDING"),"",IF(L439="P",0,M439-I439))</f>
        <v/>
      </c>
    </row>
    <row r="440" ht="18" customHeight="1" s="91">
      <c r="A440" s="131">
        <f>IF(C440="","",ROW()-7)</f>
        <v/>
      </c>
      <c r="B440" s="132" t="n"/>
      <c r="C440" s="132" t="n"/>
      <c r="D440" s="133" t="n"/>
      <c r="E440" s="133" t="n"/>
      <c r="F440" s="132" t="n"/>
      <c r="G440" s="134" t="n"/>
      <c r="H440" s="132" t="n"/>
      <c r="I440" s="135" t="n"/>
      <c r="J440" s="136" t="n"/>
      <c r="K440" s="132" t="n"/>
      <c r="L440" s="132" t="n"/>
      <c r="M440" s="137">
        <f>IF(OR(L440="",L440="PENDING"),"",IF(L440="P",I440,IF(L440="L",0,IF(G440&lt;0,I440+I440*100/ABS(G440),I440+I440*G440/100))))</f>
        <v/>
      </c>
      <c r="N440" s="138">
        <f>IF(OR(L440="",L440="PENDING"),"",IF(L440="P",0,IF(L440="L",-J440,IF(G440&lt;0,J440*100/ABS(G440),J440*G440/100))))</f>
        <v/>
      </c>
      <c r="O440" s="137">
        <f>IF(OR(L440="",L440="PENDING"),"",IF(L440="P",0,M440-I440))</f>
        <v/>
      </c>
    </row>
    <row r="441" ht="18" customHeight="1" s="91">
      <c r="A441" s="139">
        <f>IF(C441="","",ROW()-7)</f>
        <v/>
      </c>
      <c r="B441" s="140" t="n"/>
      <c r="C441" s="140" t="n"/>
      <c r="D441" s="141" t="n"/>
      <c r="E441" s="141" t="n"/>
      <c r="F441" s="140" t="n"/>
      <c r="G441" s="142" t="n"/>
      <c r="H441" s="140" t="n"/>
      <c r="I441" s="143" t="n"/>
      <c r="J441" s="144" t="n"/>
      <c r="K441" s="140" t="n"/>
      <c r="L441" s="140" t="n"/>
      <c r="M441" s="145">
        <f>IF(OR(L441="",L441="PENDING"),"",IF(L441="P",I441,IF(L441="L",0,IF(G441&lt;0,I441+I441*100/ABS(G441),I441+I441*G441/100))))</f>
        <v/>
      </c>
      <c r="N441" s="146">
        <f>IF(OR(L441="",L441="PENDING"),"",IF(L441="P",0,IF(L441="L",-J441,IF(G441&lt;0,J441*100/ABS(G441),J441*G441/100))))</f>
        <v/>
      </c>
      <c r="O441" s="145">
        <f>IF(OR(L441="",L441="PENDING"),"",IF(L441="P",0,M441-I441))</f>
        <v/>
      </c>
    </row>
    <row r="442" ht="18" customHeight="1" s="91">
      <c r="A442" s="131">
        <f>IF(C442="","",ROW()-7)</f>
        <v/>
      </c>
      <c r="B442" s="132" t="n"/>
      <c r="C442" s="132" t="n"/>
      <c r="D442" s="133" t="n"/>
      <c r="E442" s="133" t="n"/>
      <c r="F442" s="132" t="n"/>
      <c r="G442" s="134" t="n"/>
      <c r="H442" s="132" t="n"/>
      <c r="I442" s="135" t="n"/>
      <c r="J442" s="136" t="n"/>
      <c r="K442" s="132" t="n"/>
      <c r="L442" s="132" t="n"/>
      <c r="M442" s="137">
        <f>IF(OR(L442="",L442="PENDING"),"",IF(L442="P",I442,IF(L442="L",0,IF(G442&lt;0,I442+I442*100/ABS(G442),I442+I442*G442/100))))</f>
        <v/>
      </c>
      <c r="N442" s="138">
        <f>IF(OR(L442="",L442="PENDING"),"",IF(L442="P",0,IF(L442="L",-J442,IF(G442&lt;0,J442*100/ABS(G442),J442*G442/100))))</f>
        <v/>
      </c>
      <c r="O442" s="137">
        <f>IF(OR(L442="",L442="PENDING"),"",IF(L442="P",0,M442-I442))</f>
        <v/>
      </c>
    </row>
    <row r="443" ht="18" customHeight="1" s="91">
      <c r="A443" s="139">
        <f>IF(C443="","",ROW()-7)</f>
        <v/>
      </c>
      <c r="B443" s="140" t="n"/>
      <c r="C443" s="140" t="n"/>
      <c r="D443" s="141" t="n"/>
      <c r="E443" s="141" t="n"/>
      <c r="F443" s="140" t="n"/>
      <c r="G443" s="142" t="n"/>
      <c r="H443" s="140" t="n"/>
      <c r="I443" s="143" t="n"/>
      <c r="J443" s="144" t="n"/>
      <c r="K443" s="140" t="n"/>
      <c r="L443" s="140" t="n"/>
      <c r="M443" s="145">
        <f>IF(OR(L443="",L443="PENDING"),"",IF(L443="P",I443,IF(L443="L",0,IF(G443&lt;0,I443+I443*100/ABS(G443),I443+I443*G443/100))))</f>
        <v/>
      </c>
      <c r="N443" s="146">
        <f>IF(OR(L443="",L443="PENDING"),"",IF(L443="P",0,IF(L443="L",-J443,IF(G443&lt;0,J443*100/ABS(G443),J443*G443/100))))</f>
        <v/>
      </c>
      <c r="O443" s="145">
        <f>IF(OR(L443="",L443="PENDING"),"",IF(L443="P",0,M443-I443))</f>
        <v/>
      </c>
    </row>
    <row r="444" ht="18" customHeight="1" s="91">
      <c r="A444" s="131">
        <f>IF(C444="","",ROW()-7)</f>
        <v/>
      </c>
      <c r="B444" s="132" t="n"/>
      <c r="C444" s="132" t="n"/>
      <c r="D444" s="133" t="n"/>
      <c r="E444" s="133" t="n"/>
      <c r="F444" s="132" t="n"/>
      <c r="G444" s="134" t="n"/>
      <c r="H444" s="132" t="n"/>
      <c r="I444" s="135" t="n"/>
      <c r="J444" s="136" t="n"/>
      <c r="K444" s="132" t="n"/>
      <c r="L444" s="132" t="n"/>
      <c r="M444" s="137">
        <f>IF(OR(L444="",L444="PENDING"),"",IF(L444="P",I444,IF(L444="L",0,IF(G444&lt;0,I444+I444*100/ABS(G444),I444+I444*G444/100))))</f>
        <v/>
      </c>
      <c r="N444" s="138">
        <f>IF(OR(L444="",L444="PENDING"),"",IF(L444="P",0,IF(L444="L",-J444,IF(G444&lt;0,J444*100/ABS(G444),J444*G444/100))))</f>
        <v/>
      </c>
      <c r="O444" s="137">
        <f>IF(OR(L444="",L444="PENDING"),"",IF(L444="P",0,M444-I444))</f>
        <v/>
      </c>
    </row>
    <row r="445" ht="18" customHeight="1" s="91">
      <c r="A445" s="139">
        <f>IF(C445="","",ROW()-7)</f>
        <v/>
      </c>
      <c r="B445" s="140" t="n"/>
      <c r="C445" s="140" t="n"/>
      <c r="D445" s="141" t="n"/>
      <c r="E445" s="141" t="n"/>
      <c r="F445" s="140" t="n"/>
      <c r="G445" s="142" t="n"/>
      <c r="H445" s="140" t="n"/>
      <c r="I445" s="143" t="n"/>
      <c r="J445" s="144" t="n"/>
      <c r="K445" s="140" t="n"/>
      <c r="L445" s="140" t="n"/>
      <c r="M445" s="145">
        <f>IF(OR(L445="",L445="PENDING"),"",IF(L445="P",I445,IF(L445="L",0,IF(G445&lt;0,I445+I445*100/ABS(G445),I445+I445*G445/100))))</f>
        <v/>
      </c>
      <c r="N445" s="146">
        <f>IF(OR(L445="",L445="PENDING"),"",IF(L445="P",0,IF(L445="L",-J445,IF(G445&lt;0,J445*100/ABS(G445),J445*G445/100))))</f>
        <v/>
      </c>
      <c r="O445" s="145">
        <f>IF(OR(L445="",L445="PENDING"),"",IF(L445="P",0,M445-I445))</f>
        <v/>
      </c>
    </row>
    <row r="446" ht="18" customHeight="1" s="91">
      <c r="A446" s="131">
        <f>IF(C446="","",ROW()-7)</f>
        <v/>
      </c>
      <c r="B446" s="132" t="n"/>
      <c r="C446" s="132" t="n"/>
      <c r="D446" s="133" t="n"/>
      <c r="E446" s="133" t="n"/>
      <c r="F446" s="132" t="n"/>
      <c r="G446" s="134" t="n"/>
      <c r="H446" s="132" t="n"/>
      <c r="I446" s="135" t="n"/>
      <c r="J446" s="136" t="n"/>
      <c r="K446" s="132" t="n"/>
      <c r="L446" s="132" t="n"/>
      <c r="M446" s="137">
        <f>IF(OR(L446="",L446="PENDING"),"",IF(L446="P",I446,IF(L446="L",0,IF(G446&lt;0,I446+I446*100/ABS(G446),I446+I446*G446/100))))</f>
        <v/>
      </c>
      <c r="N446" s="138">
        <f>IF(OR(L446="",L446="PENDING"),"",IF(L446="P",0,IF(L446="L",-J446,IF(G446&lt;0,J446*100/ABS(G446),J446*G446/100))))</f>
        <v/>
      </c>
      <c r="O446" s="137">
        <f>IF(OR(L446="",L446="PENDING"),"",IF(L446="P",0,M446-I446))</f>
        <v/>
      </c>
    </row>
    <row r="447" ht="18" customHeight="1" s="91">
      <c r="A447" s="139">
        <f>IF(C447="","",ROW()-7)</f>
        <v/>
      </c>
      <c r="B447" s="140" t="n"/>
      <c r="C447" s="140" t="n"/>
      <c r="D447" s="141" t="n"/>
      <c r="E447" s="141" t="n"/>
      <c r="F447" s="140" t="n"/>
      <c r="G447" s="142" t="n"/>
      <c r="H447" s="140" t="n"/>
      <c r="I447" s="143" t="n"/>
      <c r="J447" s="144" t="n"/>
      <c r="K447" s="140" t="n"/>
      <c r="L447" s="140" t="n"/>
      <c r="M447" s="145">
        <f>IF(OR(L447="",L447="PENDING"),"",IF(L447="P",I447,IF(L447="L",0,IF(G447&lt;0,I447+I447*100/ABS(G447),I447+I447*G447/100))))</f>
        <v/>
      </c>
      <c r="N447" s="146">
        <f>IF(OR(L447="",L447="PENDING"),"",IF(L447="P",0,IF(L447="L",-J447,IF(G447&lt;0,J447*100/ABS(G447),J447*G447/100))))</f>
        <v/>
      </c>
      <c r="O447" s="145">
        <f>IF(OR(L447="",L447="PENDING"),"",IF(L447="P",0,M447-I447))</f>
        <v/>
      </c>
    </row>
    <row r="448" ht="18" customHeight="1" s="91">
      <c r="A448" s="131">
        <f>IF(C448="","",ROW()-7)</f>
        <v/>
      </c>
      <c r="B448" s="132" t="n"/>
      <c r="C448" s="132" t="n"/>
      <c r="D448" s="133" t="n"/>
      <c r="E448" s="133" t="n"/>
      <c r="F448" s="132" t="n"/>
      <c r="G448" s="134" t="n"/>
      <c r="H448" s="132" t="n"/>
      <c r="I448" s="135" t="n"/>
      <c r="J448" s="136" t="n"/>
      <c r="K448" s="132" t="n"/>
      <c r="L448" s="132" t="n"/>
      <c r="M448" s="137">
        <f>IF(OR(L448="",L448="PENDING"),"",IF(L448="P",I448,IF(L448="L",0,IF(G448&lt;0,I448+I448*100/ABS(G448),I448+I448*G448/100))))</f>
        <v/>
      </c>
      <c r="N448" s="138">
        <f>IF(OR(L448="",L448="PENDING"),"",IF(L448="P",0,IF(L448="L",-J448,IF(G448&lt;0,J448*100/ABS(G448),J448*G448/100))))</f>
        <v/>
      </c>
      <c r="O448" s="137">
        <f>IF(OR(L448="",L448="PENDING"),"",IF(L448="P",0,M448-I448))</f>
        <v/>
      </c>
    </row>
    <row r="449" ht="18" customHeight="1" s="91">
      <c r="A449" s="139">
        <f>IF(C449="","",ROW()-7)</f>
        <v/>
      </c>
      <c r="B449" s="140" t="n"/>
      <c r="C449" s="140" t="n"/>
      <c r="D449" s="141" t="n"/>
      <c r="E449" s="141" t="n"/>
      <c r="F449" s="140" t="n"/>
      <c r="G449" s="142" t="n"/>
      <c r="H449" s="140" t="n"/>
      <c r="I449" s="143" t="n"/>
      <c r="J449" s="144" t="n"/>
      <c r="K449" s="140" t="n"/>
      <c r="L449" s="140" t="n"/>
      <c r="M449" s="145">
        <f>IF(OR(L449="",L449="PENDING"),"",IF(L449="P",I449,IF(L449="L",0,IF(G449&lt;0,I449+I449*100/ABS(G449),I449+I449*G449/100))))</f>
        <v/>
      </c>
      <c r="N449" s="146">
        <f>IF(OR(L449="",L449="PENDING"),"",IF(L449="P",0,IF(L449="L",-J449,IF(G449&lt;0,J449*100/ABS(G449),J449*G449/100))))</f>
        <v/>
      </c>
      <c r="O449" s="145">
        <f>IF(OR(L449="",L449="PENDING"),"",IF(L449="P",0,M449-I449))</f>
        <v/>
      </c>
    </row>
    <row r="450" ht="18" customHeight="1" s="91">
      <c r="A450" s="131">
        <f>IF(C450="","",ROW()-7)</f>
        <v/>
      </c>
      <c r="B450" s="132" t="n"/>
      <c r="C450" s="132" t="n"/>
      <c r="D450" s="133" t="n"/>
      <c r="E450" s="133" t="n"/>
      <c r="F450" s="132" t="n"/>
      <c r="G450" s="134" t="n"/>
      <c r="H450" s="132" t="n"/>
      <c r="I450" s="135" t="n"/>
      <c r="J450" s="136" t="n"/>
      <c r="K450" s="132" t="n"/>
      <c r="L450" s="132" t="n"/>
      <c r="M450" s="137">
        <f>IF(OR(L450="",L450="PENDING"),"",IF(L450="P",I450,IF(L450="L",0,IF(G450&lt;0,I450+I450*100/ABS(G450),I450+I450*G450/100))))</f>
        <v/>
      </c>
      <c r="N450" s="138">
        <f>IF(OR(L450="",L450="PENDING"),"",IF(L450="P",0,IF(L450="L",-J450,IF(G450&lt;0,J450*100/ABS(G450),J450*G450/100))))</f>
        <v/>
      </c>
      <c r="O450" s="137">
        <f>IF(OR(L450="",L450="PENDING"),"",IF(L450="P",0,M450-I450))</f>
        <v/>
      </c>
    </row>
    <row r="451" ht="18" customHeight="1" s="91">
      <c r="A451" s="139">
        <f>IF(C451="","",ROW()-7)</f>
        <v/>
      </c>
      <c r="B451" s="140" t="n"/>
      <c r="C451" s="140" t="n"/>
      <c r="D451" s="141" t="n"/>
      <c r="E451" s="141" t="n"/>
      <c r="F451" s="140" t="n"/>
      <c r="G451" s="142" t="n"/>
      <c r="H451" s="140" t="n"/>
      <c r="I451" s="143" t="n"/>
      <c r="J451" s="144" t="n"/>
      <c r="K451" s="140" t="n"/>
      <c r="L451" s="140" t="n"/>
      <c r="M451" s="145">
        <f>IF(OR(L451="",L451="PENDING"),"",IF(L451="P",I451,IF(L451="L",0,IF(G451&lt;0,I451+I451*100/ABS(G451),I451+I451*G451/100))))</f>
        <v/>
      </c>
      <c r="N451" s="146">
        <f>IF(OR(L451="",L451="PENDING"),"",IF(L451="P",0,IF(L451="L",-J451,IF(G451&lt;0,J451*100/ABS(G451),J451*G451/100))))</f>
        <v/>
      </c>
      <c r="O451" s="145">
        <f>IF(OR(L451="",L451="PENDING"),"",IF(L451="P",0,M451-I451))</f>
        <v/>
      </c>
    </row>
    <row r="452" ht="18" customHeight="1" s="91">
      <c r="A452" s="131">
        <f>IF(C452="","",ROW()-7)</f>
        <v/>
      </c>
      <c r="B452" s="132" t="n"/>
      <c r="C452" s="132" t="n"/>
      <c r="D452" s="133" t="n"/>
      <c r="E452" s="133" t="n"/>
      <c r="F452" s="132" t="n"/>
      <c r="G452" s="134" t="n"/>
      <c r="H452" s="132" t="n"/>
      <c r="I452" s="135" t="n"/>
      <c r="J452" s="136" t="n"/>
      <c r="K452" s="132" t="n"/>
      <c r="L452" s="132" t="n"/>
      <c r="M452" s="137">
        <f>IF(OR(L452="",L452="PENDING"),"",IF(L452="P",I452,IF(L452="L",0,IF(G452&lt;0,I452+I452*100/ABS(G452),I452+I452*G452/100))))</f>
        <v/>
      </c>
      <c r="N452" s="138">
        <f>IF(OR(L452="",L452="PENDING"),"",IF(L452="P",0,IF(L452="L",-J452,IF(G452&lt;0,J452*100/ABS(G452),J452*G452/100))))</f>
        <v/>
      </c>
      <c r="O452" s="137">
        <f>IF(OR(L452="",L452="PENDING"),"",IF(L452="P",0,M452-I452))</f>
        <v/>
      </c>
    </row>
    <row r="453" ht="18" customHeight="1" s="91">
      <c r="A453" s="139">
        <f>IF(C453="","",ROW()-7)</f>
        <v/>
      </c>
      <c r="B453" s="140" t="n"/>
      <c r="C453" s="140" t="n"/>
      <c r="D453" s="141" t="n"/>
      <c r="E453" s="141" t="n"/>
      <c r="F453" s="140" t="n"/>
      <c r="G453" s="142" t="n"/>
      <c r="H453" s="140" t="n"/>
      <c r="I453" s="143" t="n"/>
      <c r="J453" s="144" t="n"/>
      <c r="K453" s="140" t="n"/>
      <c r="L453" s="140" t="n"/>
      <c r="M453" s="145">
        <f>IF(OR(L453="",L453="PENDING"),"",IF(L453="P",I453,IF(L453="L",0,IF(G453&lt;0,I453+I453*100/ABS(G453),I453+I453*G453/100))))</f>
        <v/>
      </c>
      <c r="N453" s="146">
        <f>IF(OR(L453="",L453="PENDING"),"",IF(L453="P",0,IF(L453="L",-J453,IF(G453&lt;0,J453*100/ABS(G453),J453*G453/100))))</f>
        <v/>
      </c>
      <c r="O453" s="145">
        <f>IF(OR(L453="",L453="PENDING"),"",IF(L453="P",0,M453-I453))</f>
        <v/>
      </c>
    </row>
    <row r="454" ht="18" customHeight="1" s="91">
      <c r="A454" s="131">
        <f>IF(C454="","",ROW()-7)</f>
        <v/>
      </c>
      <c r="B454" s="132" t="n"/>
      <c r="C454" s="132" t="n"/>
      <c r="D454" s="133" t="n"/>
      <c r="E454" s="133" t="n"/>
      <c r="F454" s="132" t="n"/>
      <c r="G454" s="134" t="n"/>
      <c r="H454" s="132" t="n"/>
      <c r="I454" s="135" t="n"/>
      <c r="J454" s="136" t="n"/>
      <c r="K454" s="132" t="n"/>
      <c r="L454" s="132" t="n"/>
      <c r="M454" s="137">
        <f>IF(OR(L454="",L454="PENDING"),"",IF(L454="P",I454,IF(L454="L",0,IF(G454&lt;0,I454+I454*100/ABS(G454),I454+I454*G454/100))))</f>
        <v/>
      </c>
      <c r="N454" s="138">
        <f>IF(OR(L454="",L454="PENDING"),"",IF(L454="P",0,IF(L454="L",-J454,IF(G454&lt;0,J454*100/ABS(G454),J454*G454/100))))</f>
        <v/>
      </c>
      <c r="O454" s="137">
        <f>IF(OR(L454="",L454="PENDING"),"",IF(L454="P",0,M454-I454))</f>
        <v/>
      </c>
    </row>
    <row r="455" ht="18" customHeight="1" s="91">
      <c r="A455" s="139">
        <f>IF(C455="","",ROW()-7)</f>
        <v/>
      </c>
      <c r="B455" s="140" t="n"/>
      <c r="C455" s="140" t="n"/>
      <c r="D455" s="141" t="n"/>
      <c r="E455" s="141" t="n"/>
      <c r="F455" s="140" t="n"/>
      <c r="G455" s="142" t="n"/>
      <c r="H455" s="140" t="n"/>
      <c r="I455" s="143" t="n"/>
      <c r="J455" s="144" t="n"/>
      <c r="K455" s="140" t="n"/>
      <c r="L455" s="140" t="n"/>
      <c r="M455" s="145">
        <f>IF(OR(L455="",L455="PENDING"),"",IF(L455="P",I455,IF(L455="L",0,IF(G455&lt;0,I455+I455*100/ABS(G455),I455+I455*G455/100))))</f>
        <v/>
      </c>
      <c r="N455" s="146">
        <f>IF(OR(L455="",L455="PENDING"),"",IF(L455="P",0,IF(L455="L",-J455,IF(G455&lt;0,J455*100/ABS(G455),J455*G455/100))))</f>
        <v/>
      </c>
      <c r="O455" s="145">
        <f>IF(OR(L455="",L455="PENDING"),"",IF(L455="P",0,M455-I455))</f>
        <v/>
      </c>
    </row>
    <row r="456" ht="18" customHeight="1" s="91">
      <c r="A456" s="131">
        <f>IF(C456="","",ROW()-7)</f>
        <v/>
      </c>
      <c r="B456" s="132" t="n"/>
      <c r="C456" s="132" t="n"/>
      <c r="D456" s="133" t="n"/>
      <c r="E456" s="133" t="n"/>
      <c r="F456" s="132" t="n"/>
      <c r="G456" s="134" t="n"/>
      <c r="H456" s="132" t="n"/>
      <c r="I456" s="135" t="n"/>
      <c r="J456" s="136" t="n"/>
      <c r="K456" s="132" t="n"/>
      <c r="L456" s="132" t="n"/>
      <c r="M456" s="137">
        <f>IF(OR(L456="",L456="PENDING"),"",IF(L456="P",I456,IF(L456="L",0,IF(G456&lt;0,I456+I456*100/ABS(G456),I456+I456*G456/100))))</f>
        <v/>
      </c>
      <c r="N456" s="138">
        <f>IF(OR(L456="",L456="PENDING"),"",IF(L456="P",0,IF(L456="L",-J456,IF(G456&lt;0,J456*100/ABS(G456),J456*G456/100))))</f>
        <v/>
      </c>
      <c r="O456" s="137">
        <f>IF(OR(L456="",L456="PENDING"),"",IF(L456="P",0,M456-I456))</f>
        <v/>
      </c>
    </row>
    <row r="457" ht="18" customHeight="1" s="91">
      <c r="A457" s="139">
        <f>IF(C457="","",ROW()-7)</f>
        <v/>
      </c>
      <c r="B457" s="140" t="n"/>
      <c r="C457" s="140" t="n"/>
      <c r="D457" s="141" t="n"/>
      <c r="E457" s="141" t="n"/>
      <c r="F457" s="140" t="n"/>
      <c r="G457" s="142" t="n"/>
      <c r="H457" s="140" t="n"/>
      <c r="I457" s="143" t="n"/>
      <c r="J457" s="144" t="n"/>
      <c r="K457" s="140" t="n"/>
      <c r="L457" s="140" t="n"/>
      <c r="M457" s="145">
        <f>IF(OR(L457="",L457="PENDING"),"",IF(L457="P",I457,IF(L457="L",0,IF(G457&lt;0,I457+I457*100/ABS(G457),I457+I457*G457/100))))</f>
        <v/>
      </c>
      <c r="N457" s="146">
        <f>IF(OR(L457="",L457="PENDING"),"",IF(L457="P",0,IF(L457="L",-J457,IF(G457&lt;0,J457*100/ABS(G457),J457*G457/100))))</f>
        <v/>
      </c>
      <c r="O457" s="145">
        <f>IF(OR(L457="",L457="PENDING"),"",IF(L457="P",0,M457-I457))</f>
        <v/>
      </c>
    </row>
    <row r="458" ht="18" customHeight="1" s="91">
      <c r="A458" s="131">
        <f>IF(C458="","",ROW()-7)</f>
        <v/>
      </c>
      <c r="B458" s="132" t="n"/>
      <c r="C458" s="132" t="n"/>
      <c r="D458" s="133" t="n"/>
      <c r="E458" s="133" t="n"/>
      <c r="F458" s="132" t="n"/>
      <c r="G458" s="134" t="n"/>
      <c r="H458" s="132" t="n"/>
      <c r="I458" s="135" t="n"/>
      <c r="J458" s="136" t="n"/>
      <c r="K458" s="132" t="n"/>
      <c r="L458" s="132" t="n"/>
      <c r="M458" s="137">
        <f>IF(OR(L458="",L458="PENDING"),"",IF(L458="P",I458,IF(L458="L",0,IF(G458&lt;0,I458+I458*100/ABS(G458),I458+I458*G458/100))))</f>
        <v/>
      </c>
      <c r="N458" s="138">
        <f>IF(OR(L458="",L458="PENDING"),"",IF(L458="P",0,IF(L458="L",-J458,IF(G458&lt;0,J458*100/ABS(G458),J458*G458/100))))</f>
        <v/>
      </c>
      <c r="O458" s="137">
        <f>IF(OR(L458="",L458="PENDING"),"",IF(L458="P",0,M458-I458))</f>
        <v/>
      </c>
    </row>
    <row r="459" ht="18" customHeight="1" s="91">
      <c r="A459" s="139">
        <f>IF(C459="","",ROW()-7)</f>
        <v/>
      </c>
      <c r="B459" s="140" t="n"/>
      <c r="C459" s="140" t="n"/>
      <c r="D459" s="141" t="n"/>
      <c r="E459" s="141" t="n"/>
      <c r="F459" s="140" t="n"/>
      <c r="G459" s="142" t="n"/>
      <c r="H459" s="140" t="n"/>
      <c r="I459" s="143" t="n"/>
      <c r="J459" s="144" t="n"/>
      <c r="K459" s="140" t="n"/>
      <c r="L459" s="140" t="n"/>
      <c r="M459" s="145">
        <f>IF(OR(L459="",L459="PENDING"),"",IF(L459="P",I459,IF(L459="L",0,IF(G459&lt;0,I459+I459*100/ABS(G459),I459+I459*G459/100))))</f>
        <v/>
      </c>
      <c r="N459" s="146">
        <f>IF(OR(L459="",L459="PENDING"),"",IF(L459="P",0,IF(L459="L",-J459,IF(G459&lt;0,J459*100/ABS(G459),J459*G459/100))))</f>
        <v/>
      </c>
      <c r="O459" s="145">
        <f>IF(OR(L459="",L459="PENDING"),"",IF(L459="P",0,M459-I459))</f>
        <v/>
      </c>
    </row>
    <row r="460" ht="18" customHeight="1" s="91">
      <c r="A460" s="131">
        <f>IF(C460="","",ROW()-7)</f>
        <v/>
      </c>
      <c r="B460" s="132" t="n"/>
      <c r="C460" s="132" t="n"/>
      <c r="D460" s="133" t="n"/>
      <c r="E460" s="133" t="n"/>
      <c r="F460" s="132" t="n"/>
      <c r="G460" s="134" t="n"/>
      <c r="H460" s="132" t="n"/>
      <c r="I460" s="135" t="n"/>
      <c r="J460" s="136" t="n"/>
      <c r="K460" s="132" t="n"/>
      <c r="L460" s="132" t="n"/>
      <c r="M460" s="137">
        <f>IF(OR(L460="",L460="PENDING"),"",IF(L460="P",I460,IF(L460="L",0,IF(G460&lt;0,I460+I460*100/ABS(G460),I460+I460*G460/100))))</f>
        <v/>
      </c>
      <c r="N460" s="138">
        <f>IF(OR(L460="",L460="PENDING"),"",IF(L460="P",0,IF(L460="L",-J460,IF(G460&lt;0,J460*100/ABS(G460),J460*G460/100))))</f>
        <v/>
      </c>
      <c r="O460" s="137">
        <f>IF(OR(L460="",L460="PENDING"),"",IF(L460="P",0,M460-I460))</f>
        <v/>
      </c>
    </row>
    <row r="461" ht="18" customHeight="1" s="91">
      <c r="A461" s="139">
        <f>IF(C461="","",ROW()-7)</f>
        <v/>
      </c>
      <c r="B461" s="140" t="n"/>
      <c r="C461" s="140" t="n"/>
      <c r="D461" s="141" t="n"/>
      <c r="E461" s="141" t="n"/>
      <c r="F461" s="140" t="n"/>
      <c r="G461" s="142" t="n"/>
      <c r="H461" s="140" t="n"/>
      <c r="I461" s="143" t="n"/>
      <c r="J461" s="144" t="n"/>
      <c r="K461" s="140" t="n"/>
      <c r="L461" s="140" t="n"/>
      <c r="M461" s="145">
        <f>IF(OR(L461="",L461="PENDING"),"",IF(L461="P",I461,IF(L461="L",0,IF(G461&lt;0,I461+I461*100/ABS(G461),I461+I461*G461/100))))</f>
        <v/>
      </c>
      <c r="N461" s="146">
        <f>IF(OR(L461="",L461="PENDING"),"",IF(L461="P",0,IF(L461="L",-J461,IF(G461&lt;0,J461*100/ABS(G461),J461*G461/100))))</f>
        <v/>
      </c>
      <c r="O461" s="145">
        <f>IF(OR(L461="",L461="PENDING"),"",IF(L461="P",0,M461-I461))</f>
        <v/>
      </c>
    </row>
    <row r="462" ht="18" customHeight="1" s="91">
      <c r="A462" s="131">
        <f>IF(C462="","",ROW()-7)</f>
        <v/>
      </c>
      <c r="B462" s="132" t="n"/>
      <c r="C462" s="132" t="n"/>
      <c r="D462" s="133" t="n"/>
      <c r="E462" s="133" t="n"/>
      <c r="F462" s="132" t="n"/>
      <c r="G462" s="134" t="n"/>
      <c r="H462" s="132" t="n"/>
      <c r="I462" s="135" t="n"/>
      <c r="J462" s="136" t="n"/>
      <c r="K462" s="132" t="n"/>
      <c r="L462" s="132" t="n"/>
      <c r="M462" s="137">
        <f>IF(OR(L462="",L462="PENDING"),"",IF(L462="P",I462,IF(L462="L",0,IF(G462&lt;0,I462+I462*100/ABS(G462),I462+I462*G462/100))))</f>
        <v/>
      </c>
      <c r="N462" s="138">
        <f>IF(OR(L462="",L462="PENDING"),"",IF(L462="P",0,IF(L462="L",-J462,IF(G462&lt;0,J462*100/ABS(G462),J462*G462/100))))</f>
        <v/>
      </c>
      <c r="O462" s="137">
        <f>IF(OR(L462="",L462="PENDING"),"",IF(L462="P",0,M462-I462))</f>
        <v/>
      </c>
    </row>
    <row r="463" ht="18" customHeight="1" s="91">
      <c r="A463" s="139">
        <f>IF(C463="","",ROW()-7)</f>
        <v/>
      </c>
      <c r="B463" s="140" t="n"/>
      <c r="C463" s="140" t="n"/>
      <c r="D463" s="141" t="n"/>
      <c r="E463" s="141" t="n"/>
      <c r="F463" s="140" t="n"/>
      <c r="G463" s="142" t="n"/>
      <c r="H463" s="140" t="n"/>
      <c r="I463" s="143" t="n"/>
      <c r="J463" s="144" t="n"/>
      <c r="K463" s="140" t="n"/>
      <c r="L463" s="140" t="n"/>
      <c r="M463" s="145">
        <f>IF(OR(L463="",L463="PENDING"),"",IF(L463="P",I463,IF(L463="L",0,IF(G463&lt;0,I463+I463*100/ABS(G463),I463+I463*G463/100))))</f>
        <v/>
      </c>
      <c r="N463" s="146">
        <f>IF(OR(L463="",L463="PENDING"),"",IF(L463="P",0,IF(L463="L",-J463,IF(G463&lt;0,J463*100/ABS(G463),J463*G463/100))))</f>
        <v/>
      </c>
      <c r="O463" s="145">
        <f>IF(OR(L463="",L463="PENDING"),"",IF(L463="P",0,M463-I463))</f>
        <v/>
      </c>
    </row>
    <row r="464" ht="18" customHeight="1" s="91">
      <c r="A464" s="131">
        <f>IF(C464="","",ROW()-7)</f>
        <v/>
      </c>
      <c r="B464" s="132" t="n"/>
      <c r="C464" s="132" t="n"/>
      <c r="D464" s="133" t="n"/>
      <c r="E464" s="133" t="n"/>
      <c r="F464" s="132" t="n"/>
      <c r="G464" s="134" t="n"/>
      <c r="H464" s="132" t="n"/>
      <c r="I464" s="135" t="n"/>
      <c r="J464" s="136" t="n"/>
      <c r="K464" s="132" t="n"/>
      <c r="L464" s="132" t="n"/>
      <c r="M464" s="137">
        <f>IF(OR(L464="",L464="PENDING"),"",IF(L464="P",I464,IF(L464="L",0,IF(G464&lt;0,I464+I464*100/ABS(G464),I464+I464*G464/100))))</f>
        <v/>
      </c>
      <c r="N464" s="138">
        <f>IF(OR(L464="",L464="PENDING"),"",IF(L464="P",0,IF(L464="L",-J464,IF(G464&lt;0,J464*100/ABS(G464),J464*G464/100))))</f>
        <v/>
      </c>
      <c r="O464" s="137">
        <f>IF(OR(L464="",L464="PENDING"),"",IF(L464="P",0,M464-I464))</f>
        <v/>
      </c>
    </row>
    <row r="465" ht="18" customHeight="1" s="91">
      <c r="A465" s="139">
        <f>IF(C465="","",ROW()-7)</f>
        <v/>
      </c>
      <c r="B465" s="140" t="n"/>
      <c r="C465" s="140" t="n"/>
      <c r="D465" s="141" t="n"/>
      <c r="E465" s="141" t="n"/>
      <c r="F465" s="140" t="n"/>
      <c r="G465" s="142" t="n"/>
      <c r="H465" s="140" t="n"/>
      <c r="I465" s="143" t="n"/>
      <c r="J465" s="144" t="n"/>
      <c r="K465" s="140" t="n"/>
      <c r="L465" s="140" t="n"/>
      <c r="M465" s="145">
        <f>IF(OR(L465="",L465="PENDING"),"",IF(L465="P",I465,IF(L465="L",0,IF(G465&lt;0,I465+I465*100/ABS(G465),I465+I465*G465/100))))</f>
        <v/>
      </c>
      <c r="N465" s="146">
        <f>IF(OR(L465="",L465="PENDING"),"",IF(L465="P",0,IF(L465="L",-J465,IF(G465&lt;0,J465*100/ABS(G465),J465*G465/100))))</f>
        <v/>
      </c>
      <c r="O465" s="145">
        <f>IF(OR(L465="",L465="PENDING"),"",IF(L465="P",0,M465-I465))</f>
        <v/>
      </c>
    </row>
    <row r="466" ht="18" customHeight="1" s="91">
      <c r="A466" s="131">
        <f>IF(C466="","",ROW()-7)</f>
        <v/>
      </c>
      <c r="B466" s="132" t="n"/>
      <c r="C466" s="132" t="n"/>
      <c r="D466" s="133" t="n"/>
      <c r="E466" s="133" t="n"/>
      <c r="F466" s="132" t="n"/>
      <c r="G466" s="134" t="n"/>
      <c r="H466" s="132" t="n"/>
      <c r="I466" s="135" t="n"/>
      <c r="J466" s="136" t="n"/>
      <c r="K466" s="132" t="n"/>
      <c r="L466" s="132" t="n"/>
      <c r="M466" s="137">
        <f>IF(OR(L466="",L466="PENDING"),"",IF(L466="P",I466,IF(L466="L",0,IF(G466&lt;0,I466+I466*100/ABS(G466),I466+I466*G466/100))))</f>
        <v/>
      </c>
      <c r="N466" s="138">
        <f>IF(OR(L466="",L466="PENDING"),"",IF(L466="P",0,IF(L466="L",-J466,IF(G466&lt;0,J466*100/ABS(G466),J466*G466/100))))</f>
        <v/>
      </c>
      <c r="O466" s="137">
        <f>IF(OR(L466="",L466="PENDING"),"",IF(L466="P",0,M466-I466))</f>
        <v/>
      </c>
    </row>
    <row r="467" ht="18" customHeight="1" s="91">
      <c r="A467" s="139">
        <f>IF(C467="","",ROW()-7)</f>
        <v/>
      </c>
      <c r="B467" s="140" t="n"/>
      <c r="C467" s="140" t="n"/>
      <c r="D467" s="141" t="n"/>
      <c r="E467" s="141" t="n"/>
      <c r="F467" s="140" t="n"/>
      <c r="G467" s="142" t="n"/>
      <c r="H467" s="140" t="n"/>
      <c r="I467" s="143" t="n"/>
      <c r="J467" s="144" t="n"/>
      <c r="K467" s="140" t="n"/>
      <c r="L467" s="140" t="n"/>
      <c r="M467" s="145">
        <f>IF(OR(L467="",L467="PENDING"),"",IF(L467="P",I467,IF(L467="L",0,IF(G467&lt;0,I467+I467*100/ABS(G467),I467+I467*G467/100))))</f>
        <v/>
      </c>
      <c r="N467" s="146">
        <f>IF(OR(L467="",L467="PENDING"),"",IF(L467="P",0,IF(L467="L",-J467,IF(G467&lt;0,J467*100/ABS(G467),J467*G467/100))))</f>
        <v/>
      </c>
      <c r="O467" s="145">
        <f>IF(OR(L467="",L467="PENDING"),"",IF(L467="P",0,M467-I467))</f>
        <v/>
      </c>
    </row>
    <row r="468" ht="18" customHeight="1" s="91">
      <c r="A468" s="131">
        <f>IF(C468="","",ROW()-7)</f>
        <v/>
      </c>
      <c r="B468" s="132" t="n"/>
      <c r="C468" s="132" t="n"/>
      <c r="D468" s="133" t="n"/>
      <c r="E468" s="133" t="n"/>
      <c r="F468" s="132" t="n"/>
      <c r="G468" s="134" t="n"/>
      <c r="H468" s="132" t="n"/>
      <c r="I468" s="135" t="n"/>
      <c r="J468" s="136" t="n"/>
      <c r="K468" s="132" t="n"/>
      <c r="L468" s="132" t="n"/>
      <c r="M468" s="137">
        <f>IF(OR(L468="",L468="PENDING"),"",IF(L468="P",I468,IF(L468="L",0,IF(G468&lt;0,I468+I468*100/ABS(G468),I468+I468*G468/100))))</f>
        <v/>
      </c>
      <c r="N468" s="138">
        <f>IF(OR(L468="",L468="PENDING"),"",IF(L468="P",0,IF(L468="L",-J468,IF(G468&lt;0,J468*100/ABS(G468),J468*G468/100))))</f>
        <v/>
      </c>
      <c r="O468" s="137">
        <f>IF(OR(L468="",L468="PENDING"),"",IF(L468="P",0,M468-I468))</f>
        <v/>
      </c>
    </row>
    <row r="469" ht="18" customHeight="1" s="91">
      <c r="A469" s="139">
        <f>IF(C469="","",ROW()-7)</f>
        <v/>
      </c>
      <c r="B469" s="140" t="n"/>
      <c r="C469" s="140" t="n"/>
      <c r="D469" s="141" t="n"/>
      <c r="E469" s="141" t="n"/>
      <c r="F469" s="140" t="n"/>
      <c r="G469" s="142" t="n"/>
      <c r="H469" s="140" t="n"/>
      <c r="I469" s="143" t="n"/>
      <c r="J469" s="144" t="n"/>
      <c r="K469" s="140" t="n"/>
      <c r="L469" s="140" t="n"/>
      <c r="M469" s="145">
        <f>IF(OR(L469="",L469="PENDING"),"",IF(L469="P",I469,IF(L469="L",0,IF(G469&lt;0,I469+I469*100/ABS(G469),I469+I469*G469/100))))</f>
        <v/>
      </c>
      <c r="N469" s="146">
        <f>IF(OR(L469="",L469="PENDING"),"",IF(L469="P",0,IF(L469="L",-J469,IF(G469&lt;0,J469*100/ABS(G469),J469*G469/100))))</f>
        <v/>
      </c>
      <c r="O469" s="145">
        <f>IF(OR(L469="",L469="PENDING"),"",IF(L469="P",0,M469-I469))</f>
        <v/>
      </c>
    </row>
    <row r="470" ht="18" customHeight="1" s="91">
      <c r="A470" s="131">
        <f>IF(C470="","",ROW()-7)</f>
        <v/>
      </c>
      <c r="B470" s="132" t="n"/>
      <c r="C470" s="132" t="n"/>
      <c r="D470" s="133" t="n"/>
      <c r="E470" s="133" t="n"/>
      <c r="F470" s="132" t="n"/>
      <c r="G470" s="134" t="n"/>
      <c r="H470" s="132" t="n"/>
      <c r="I470" s="135" t="n"/>
      <c r="J470" s="136" t="n"/>
      <c r="K470" s="132" t="n"/>
      <c r="L470" s="132" t="n"/>
      <c r="M470" s="137">
        <f>IF(OR(L470="",L470="PENDING"),"",IF(L470="P",I470,IF(L470="L",0,IF(G470&lt;0,I470+I470*100/ABS(G470),I470+I470*G470/100))))</f>
        <v/>
      </c>
      <c r="N470" s="138">
        <f>IF(OR(L470="",L470="PENDING"),"",IF(L470="P",0,IF(L470="L",-J470,IF(G470&lt;0,J470*100/ABS(G470),J470*G470/100))))</f>
        <v/>
      </c>
      <c r="O470" s="137">
        <f>IF(OR(L470="",L470="PENDING"),"",IF(L470="P",0,M470-I470))</f>
        <v/>
      </c>
    </row>
    <row r="471" ht="18" customHeight="1" s="91">
      <c r="A471" s="139">
        <f>IF(C471="","",ROW()-7)</f>
        <v/>
      </c>
      <c r="B471" s="140" t="n"/>
      <c r="C471" s="140" t="n"/>
      <c r="D471" s="141" t="n"/>
      <c r="E471" s="141" t="n"/>
      <c r="F471" s="140" t="n"/>
      <c r="G471" s="142" t="n"/>
      <c r="H471" s="140" t="n"/>
      <c r="I471" s="143" t="n"/>
      <c r="J471" s="144" t="n"/>
      <c r="K471" s="140" t="n"/>
      <c r="L471" s="140" t="n"/>
      <c r="M471" s="145">
        <f>IF(OR(L471="",L471="PENDING"),"",IF(L471="P",I471,IF(L471="L",0,IF(G471&lt;0,I471+I471*100/ABS(G471),I471+I471*G471/100))))</f>
        <v/>
      </c>
      <c r="N471" s="146">
        <f>IF(OR(L471="",L471="PENDING"),"",IF(L471="P",0,IF(L471="L",-J471,IF(G471&lt;0,J471*100/ABS(G471),J471*G471/100))))</f>
        <v/>
      </c>
      <c r="O471" s="145">
        <f>IF(OR(L471="",L471="PENDING"),"",IF(L471="P",0,M471-I471))</f>
        <v/>
      </c>
    </row>
    <row r="472" ht="18" customHeight="1" s="91">
      <c r="A472" s="131">
        <f>IF(C472="","",ROW()-7)</f>
        <v/>
      </c>
      <c r="B472" s="132" t="n"/>
      <c r="C472" s="132" t="n"/>
      <c r="D472" s="133" t="n"/>
      <c r="E472" s="133" t="n"/>
      <c r="F472" s="132" t="n"/>
      <c r="G472" s="134" t="n"/>
      <c r="H472" s="132" t="n"/>
      <c r="I472" s="135" t="n"/>
      <c r="J472" s="136" t="n"/>
      <c r="K472" s="132" t="n"/>
      <c r="L472" s="132" t="n"/>
      <c r="M472" s="137">
        <f>IF(OR(L472="",L472="PENDING"),"",IF(L472="P",I472,IF(L472="L",0,IF(G472&lt;0,I472+I472*100/ABS(G472),I472+I472*G472/100))))</f>
        <v/>
      </c>
      <c r="N472" s="138">
        <f>IF(OR(L472="",L472="PENDING"),"",IF(L472="P",0,IF(L472="L",-J472,IF(G472&lt;0,J472*100/ABS(G472),J472*G472/100))))</f>
        <v/>
      </c>
      <c r="O472" s="137">
        <f>IF(OR(L472="",L472="PENDING"),"",IF(L472="P",0,M472-I472))</f>
        <v/>
      </c>
    </row>
    <row r="473" ht="18" customHeight="1" s="91">
      <c r="A473" s="139">
        <f>IF(C473="","",ROW()-7)</f>
        <v/>
      </c>
      <c r="B473" s="140" t="n"/>
      <c r="C473" s="140" t="n"/>
      <c r="D473" s="141" t="n"/>
      <c r="E473" s="141" t="n"/>
      <c r="F473" s="140" t="n"/>
      <c r="G473" s="142" t="n"/>
      <c r="H473" s="140" t="n"/>
      <c r="I473" s="143" t="n"/>
      <c r="J473" s="144" t="n"/>
      <c r="K473" s="140" t="n"/>
      <c r="L473" s="140" t="n"/>
      <c r="M473" s="145">
        <f>IF(OR(L473="",L473="PENDING"),"",IF(L473="P",I473,IF(L473="L",0,IF(G473&lt;0,I473+I473*100/ABS(G473),I473+I473*G473/100))))</f>
        <v/>
      </c>
      <c r="N473" s="146">
        <f>IF(OR(L473="",L473="PENDING"),"",IF(L473="P",0,IF(L473="L",-J473,IF(G473&lt;0,J473*100/ABS(G473),J473*G473/100))))</f>
        <v/>
      </c>
      <c r="O473" s="145">
        <f>IF(OR(L473="",L473="PENDING"),"",IF(L473="P",0,M473-I473))</f>
        <v/>
      </c>
    </row>
    <row r="474" ht="18" customHeight="1" s="91">
      <c r="A474" s="131">
        <f>IF(C474="","",ROW()-7)</f>
        <v/>
      </c>
      <c r="B474" s="132" t="n"/>
      <c r="C474" s="132" t="n"/>
      <c r="D474" s="133" t="n"/>
      <c r="E474" s="133" t="n"/>
      <c r="F474" s="132" t="n"/>
      <c r="G474" s="134" t="n"/>
      <c r="H474" s="132" t="n"/>
      <c r="I474" s="135" t="n"/>
      <c r="J474" s="136" t="n"/>
      <c r="K474" s="132" t="n"/>
      <c r="L474" s="132" t="n"/>
      <c r="M474" s="137">
        <f>IF(OR(L474="",L474="PENDING"),"",IF(L474="P",I474,IF(L474="L",0,IF(G474&lt;0,I474+I474*100/ABS(G474),I474+I474*G474/100))))</f>
        <v/>
      </c>
      <c r="N474" s="138">
        <f>IF(OR(L474="",L474="PENDING"),"",IF(L474="P",0,IF(L474="L",-J474,IF(G474&lt;0,J474*100/ABS(G474),J474*G474/100))))</f>
        <v/>
      </c>
      <c r="O474" s="137">
        <f>IF(OR(L474="",L474="PENDING"),"",IF(L474="P",0,M474-I474))</f>
        <v/>
      </c>
    </row>
    <row r="475" ht="18" customHeight="1" s="91">
      <c r="A475" s="139">
        <f>IF(C475="","",ROW()-7)</f>
        <v/>
      </c>
      <c r="B475" s="140" t="n"/>
      <c r="C475" s="140" t="n"/>
      <c r="D475" s="141" t="n"/>
      <c r="E475" s="141" t="n"/>
      <c r="F475" s="140" t="n"/>
      <c r="G475" s="142" t="n"/>
      <c r="H475" s="140" t="n"/>
      <c r="I475" s="143" t="n"/>
      <c r="J475" s="144" t="n"/>
      <c r="K475" s="140" t="n"/>
      <c r="L475" s="140" t="n"/>
      <c r="M475" s="145">
        <f>IF(OR(L475="",L475="PENDING"),"",IF(L475="P",I475,IF(L475="L",0,IF(G475&lt;0,I475+I475*100/ABS(G475),I475+I475*G475/100))))</f>
        <v/>
      </c>
      <c r="N475" s="146">
        <f>IF(OR(L475="",L475="PENDING"),"",IF(L475="P",0,IF(L475="L",-J475,IF(G475&lt;0,J475*100/ABS(G475),J475*G475/100))))</f>
        <v/>
      </c>
      <c r="O475" s="145">
        <f>IF(OR(L475="",L475="PENDING"),"",IF(L475="P",0,M475-I475))</f>
        <v/>
      </c>
    </row>
    <row r="476" ht="18" customHeight="1" s="91">
      <c r="A476" s="131">
        <f>IF(C476="","",ROW()-7)</f>
        <v/>
      </c>
      <c r="B476" s="132" t="n"/>
      <c r="C476" s="132" t="n"/>
      <c r="D476" s="133" t="n"/>
      <c r="E476" s="133" t="n"/>
      <c r="F476" s="132" t="n"/>
      <c r="G476" s="134" t="n"/>
      <c r="H476" s="132" t="n"/>
      <c r="I476" s="135" t="n"/>
      <c r="J476" s="136" t="n"/>
      <c r="K476" s="132" t="n"/>
      <c r="L476" s="132" t="n"/>
      <c r="M476" s="137">
        <f>IF(OR(L476="",L476="PENDING"),"",IF(L476="P",I476,IF(L476="L",0,IF(G476&lt;0,I476+I476*100/ABS(G476),I476+I476*G476/100))))</f>
        <v/>
      </c>
      <c r="N476" s="138">
        <f>IF(OR(L476="",L476="PENDING"),"",IF(L476="P",0,IF(L476="L",-J476,IF(G476&lt;0,J476*100/ABS(G476),J476*G476/100))))</f>
        <v/>
      </c>
      <c r="O476" s="137">
        <f>IF(OR(L476="",L476="PENDING"),"",IF(L476="P",0,M476-I476))</f>
        <v/>
      </c>
    </row>
    <row r="477" ht="18" customHeight="1" s="91">
      <c r="A477" s="139">
        <f>IF(C477="","",ROW()-7)</f>
        <v/>
      </c>
      <c r="B477" s="140" t="n"/>
      <c r="C477" s="140" t="n"/>
      <c r="D477" s="141" t="n"/>
      <c r="E477" s="141" t="n"/>
      <c r="F477" s="140" t="n"/>
      <c r="G477" s="142" t="n"/>
      <c r="H477" s="140" t="n"/>
      <c r="I477" s="143" t="n"/>
      <c r="J477" s="144" t="n"/>
      <c r="K477" s="140" t="n"/>
      <c r="L477" s="140" t="n"/>
      <c r="M477" s="145">
        <f>IF(OR(L477="",L477="PENDING"),"",IF(L477="P",I477,IF(L477="L",0,IF(G477&lt;0,I477+I477*100/ABS(G477),I477+I477*G477/100))))</f>
        <v/>
      </c>
      <c r="N477" s="146">
        <f>IF(OR(L477="",L477="PENDING"),"",IF(L477="P",0,IF(L477="L",-J477,IF(G477&lt;0,J477*100/ABS(G477),J477*G477/100))))</f>
        <v/>
      </c>
      <c r="O477" s="145">
        <f>IF(OR(L477="",L477="PENDING"),"",IF(L477="P",0,M477-I477))</f>
        <v/>
      </c>
    </row>
    <row r="478" ht="18" customHeight="1" s="91">
      <c r="A478" s="131">
        <f>IF(C478="","",ROW()-7)</f>
        <v/>
      </c>
      <c r="B478" s="132" t="n"/>
      <c r="C478" s="132" t="n"/>
      <c r="D478" s="133" t="n"/>
      <c r="E478" s="133" t="n"/>
      <c r="F478" s="132" t="n"/>
      <c r="G478" s="134" t="n"/>
      <c r="H478" s="132" t="n"/>
      <c r="I478" s="135" t="n"/>
      <c r="J478" s="136" t="n"/>
      <c r="K478" s="132" t="n"/>
      <c r="L478" s="132" t="n"/>
      <c r="M478" s="137">
        <f>IF(OR(L478="",L478="PENDING"),"",IF(L478="P",I478,IF(L478="L",0,IF(G478&lt;0,I478+I478*100/ABS(G478),I478+I478*G478/100))))</f>
        <v/>
      </c>
      <c r="N478" s="138">
        <f>IF(OR(L478="",L478="PENDING"),"",IF(L478="P",0,IF(L478="L",-J478,IF(G478&lt;0,J478*100/ABS(G478),J478*G478/100))))</f>
        <v/>
      </c>
      <c r="O478" s="137">
        <f>IF(OR(L478="",L478="PENDING"),"",IF(L478="P",0,M478-I478))</f>
        <v/>
      </c>
    </row>
    <row r="479" ht="18" customHeight="1" s="91">
      <c r="A479" s="139">
        <f>IF(C479="","",ROW()-7)</f>
        <v/>
      </c>
      <c r="B479" s="140" t="n"/>
      <c r="C479" s="140" t="n"/>
      <c r="D479" s="141" t="n"/>
      <c r="E479" s="141" t="n"/>
      <c r="F479" s="140" t="n"/>
      <c r="G479" s="142" t="n"/>
      <c r="H479" s="140" t="n"/>
      <c r="I479" s="143" t="n"/>
      <c r="J479" s="144" t="n"/>
      <c r="K479" s="140" t="n"/>
      <c r="L479" s="140" t="n"/>
      <c r="M479" s="145">
        <f>IF(OR(L479="",L479="PENDING"),"",IF(L479="P",I479,IF(L479="L",0,IF(G479&lt;0,I479+I479*100/ABS(G479),I479+I479*G479/100))))</f>
        <v/>
      </c>
      <c r="N479" s="146">
        <f>IF(OR(L479="",L479="PENDING"),"",IF(L479="P",0,IF(L479="L",-J479,IF(G479&lt;0,J479*100/ABS(G479),J479*G479/100))))</f>
        <v/>
      </c>
      <c r="O479" s="145">
        <f>IF(OR(L479="",L479="PENDING"),"",IF(L479="P",0,M479-I479))</f>
        <v/>
      </c>
    </row>
    <row r="480" ht="18" customHeight="1" s="91">
      <c r="A480" s="131">
        <f>IF(C480="","",ROW()-7)</f>
        <v/>
      </c>
      <c r="B480" s="132" t="n"/>
      <c r="C480" s="132" t="n"/>
      <c r="D480" s="133" t="n"/>
      <c r="E480" s="133" t="n"/>
      <c r="F480" s="132" t="n"/>
      <c r="G480" s="134" t="n"/>
      <c r="H480" s="132" t="n"/>
      <c r="I480" s="135" t="n"/>
      <c r="J480" s="136" t="n"/>
      <c r="K480" s="132" t="n"/>
      <c r="L480" s="132" t="n"/>
      <c r="M480" s="137">
        <f>IF(OR(L480="",L480="PENDING"),"",IF(L480="P",I480,IF(L480="L",0,IF(G480&lt;0,I480+I480*100/ABS(G480),I480+I480*G480/100))))</f>
        <v/>
      </c>
      <c r="N480" s="138">
        <f>IF(OR(L480="",L480="PENDING"),"",IF(L480="P",0,IF(L480="L",-J480,IF(G480&lt;0,J480*100/ABS(G480),J480*G480/100))))</f>
        <v/>
      </c>
      <c r="O480" s="137">
        <f>IF(OR(L480="",L480="PENDING"),"",IF(L480="P",0,M480-I480))</f>
        <v/>
      </c>
    </row>
    <row r="481" ht="18" customHeight="1" s="91">
      <c r="A481" s="139">
        <f>IF(C481="","",ROW()-7)</f>
        <v/>
      </c>
      <c r="B481" s="140" t="n"/>
      <c r="C481" s="140" t="n"/>
      <c r="D481" s="141" t="n"/>
      <c r="E481" s="141" t="n"/>
      <c r="F481" s="140" t="n"/>
      <c r="G481" s="142" t="n"/>
      <c r="H481" s="140" t="n"/>
      <c r="I481" s="143" t="n"/>
      <c r="J481" s="144" t="n"/>
      <c r="K481" s="140" t="n"/>
      <c r="L481" s="140" t="n"/>
      <c r="M481" s="145">
        <f>IF(OR(L481="",L481="PENDING"),"",IF(L481="P",I481,IF(L481="L",0,IF(G481&lt;0,I481+I481*100/ABS(G481),I481+I481*G481/100))))</f>
        <v/>
      </c>
      <c r="N481" s="146">
        <f>IF(OR(L481="",L481="PENDING"),"",IF(L481="P",0,IF(L481="L",-J481,IF(G481&lt;0,J481*100/ABS(G481),J481*G481/100))))</f>
        <v/>
      </c>
      <c r="O481" s="145">
        <f>IF(OR(L481="",L481="PENDING"),"",IF(L481="P",0,M481-I481))</f>
        <v/>
      </c>
    </row>
    <row r="482" ht="18" customHeight="1" s="91">
      <c r="A482" s="131">
        <f>IF(C482="","",ROW()-7)</f>
        <v/>
      </c>
      <c r="B482" s="132" t="n"/>
      <c r="C482" s="132" t="n"/>
      <c r="D482" s="133" t="n"/>
      <c r="E482" s="133" t="n"/>
      <c r="F482" s="132" t="n"/>
      <c r="G482" s="134" t="n"/>
      <c r="H482" s="132" t="n"/>
      <c r="I482" s="135" t="n"/>
      <c r="J482" s="136" t="n"/>
      <c r="K482" s="132" t="n"/>
      <c r="L482" s="132" t="n"/>
      <c r="M482" s="137">
        <f>IF(OR(L482="",L482="PENDING"),"",IF(L482="P",I482,IF(L482="L",0,IF(G482&lt;0,I482+I482*100/ABS(G482),I482+I482*G482/100))))</f>
        <v/>
      </c>
      <c r="N482" s="138">
        <f>IF(OR(L482="",L482="PENDING"),"",IF(L482="P",0,IF(L482="L",-J482,IF(G482&lt;0,J482*100/ABS(G482),J482*G482/100))))</f>
        <v/>
      </c>
      <c r="O482" s="137">
        <f>IF(OR(L482="",L482="PENDING"),"",IF(L482="P",0,M482-I482))</f>
        <v/>
      </c>
    </row>
    <row r="483" ht="18" customHeight="1" s="91">
      <c r="A483" s="139">
        <f>IF(C483="","",ROW()-7)</f>
        <v/>
      </c>
      <c r="B483" s="140" t="n"/>
      <c r="C483" s="140" t="n"/>
      <c r="D483" s="141" t="n"/>
      <c r="E483" s="141" t="n"/>
      <c r="F483" s="140" t="n"/>
      <c r="G483" s="142" t="n"/>
      <c r="H483" s="140" t="n"/>
      <c r="I483" s="143" t="n"/>
      <c r="J483" s="144" t="n"/>
      <c r="K483" s="140" t="n"/>
      <c r="L483" s="140" t="n"/>
      <c r="M483" s="145">
        <f>IF(OR(L483="",L483="PENDING"),"",IF(L483="P",I483,IF(L483="L",0,IF(G483&lt;0,I483+I483*100/ABS(G483),I483+I483*G483/100))))</f>
        <v/>
      </c>
      <c r="N483" s="146">
        <f>IF(OR(L483="",L483="PENDING"),"",IF(L483="P",0,IF(L483="L",-J483,IF(G483&lt;0,J483*100/ABS(G483),J483*G483/100))))</f>
        <v/>
      </c>
      <c r="O483" s="145">
        <f>IF(OR(L483="",L483="PENDING"),"",IF(L483="P",0,M483-I483))</f>
        <v/>
      </c>
    </row>
    <row r="484" ht="18" customHeight="1" s="91">
      <c r="A484" s="131">
        <f>IF(C484="","",ROW()-7)</f>
        <v/>
      </c>
      <c r="B484" s="132" t="n"/>
      <c r="C484" s="132" t="n"/>
      <c r="D484" s="133" t="n"/>
      <c r="E484" s="133" t="n"/>
      <c r="F484" s="132" t="n"/>
      <c r="G484" s="134" t="n"/>
      <c r="H484" s="132" t="n"/>
      <c r="I484" s="135" t="n"/>
      <c r="J484" s="136" t="n"/>
      <c r="K484" s="132" t="n"/>
      <c r="L484" s="132" t="n"/>
      <c r="M484" s="137">
        <f>IF(OR(L484="",L484="PENDING"),"",IF(L484="P",I484,IF(L484="L",0,IF(G484&lt;0,I484+I484*100/ABS(G484),I484+I484*G484/100))))</f>
        <v/>
      </c>
      <c r="N484" s="138">
        <f>IF(OR(L484="",L484="PENDING"),"",IF(L484="P",0,IF(L484="L",-J484,IF(G484&lt;0,J484*100/ABS(G484),J484*G484/100))))</f>
        <v/>
      </c>
      <c r="O484" s="137">
        <f>IF(OR(L484="",L484="PENDING"),"",IF(L484="P",0,M484-I484))</f>
        <v/>
      </c>
    </row>
    <row r="485" ht="18" customHeight="1" s="91">
      <c r="A485" s="139">
        <f>IF(C485="","",ROW()-7)</f>
        <v/>
      </c>
      <c r="B485" s="140" t="n"/>
      <c r="C485" s="140" t="n"/>
      <c r="D485" s="141" t="n"/>
      <c r="E485" s="141" t="n"/>
      <c r="F485" s="140" t="n"/>
      <c r="G485" s="142" t="n"/>
      <c r="H485" s="140" t="n"/>
      <c r="I485" s="143" t="n"/>
      <c r="J485" s="144" t="n"/>
      <c r="K485" s="140" t="n"/>
      <c r="L485" s="140" t="n"/>
      <c r="M485" s="145">
        <f>IF(OR(L485="",L485="PENDING"),"",IF(L485="P",I485,IF(L485="L",0,IF(G485&lt;0,I485+I485*100/ABS(G485),I485+I485*G485/100))))</f>
        <v/>
      </c>
      <c r="N485" s="146">
        <f>IF(OR(L485="",L485="PENDING"),"",IF(L485="P",0,IF(L485="L",-J485,IF(G485&lt;0,J485*100/ABS(G485),J485*G485/100))))</f>
        <v/>
      </c>
      <c r="O485" s="145">
        <f>IF(OR(L485="",L485="PENDING"),"",IF(L485="P",0,M485-I485))</f>
        <v/>
      </c>
    </row>
    <row r="486" ht="18" customHeight="1" s="91">
      <c r="A486" s="131">
        <f>IF(C486="","",ROW()-7)</f>
        <v/>
      </c>
      <c r="B486" s="132" t="n"/>
      <c r="C486" s="132" t="n"/>
      <c r="D486" s="133" t="n"/>
      <c r="E486" s="133" t="n"/>
      <c r="F486" s="132" t="n"/>
      <c r="G486" s="134" t="n"/>
      <c r="H486" s="132" t="n"/>
      <c r="I486" s="135" t="n"/>
      <c r="J486" s="136" t="n"/>
      <c r="K486" s="132" t="n"/>
      <c r="L486" s="132" t="n"/>
      <c r="M486" s="137">
        <f>IF(OR(L486="",L486="PENDING"),"",IF(L486="P",I486,IF(L486="L",0,IF(G486&lt;0,I486+I486*100/ABS(G486),I486+I486*G486/100))))</f>
        <v/>
      </c>
      <c r="N486" s="138">
        <f>IF(OR(L486="",L486="PENDING"),"",IF(L486="P",0,IF(L486="L",-J486,IF(G486&lt;0,J486*100/ABS(G486),J486*G486/100))))</f>
        <v/>
      </c>
      <c r="O486" s="137">
        <f>IF(OR(L486="",L486="PENDING"),"",IF(L486="P",0,M486-I486))</f>
        <v/>
      </c>
    </row>
    <row r="487" ht="18" customHeight="1" s="91">
      <c r="A487" s="139">
        <f>IF(C487="","",ROW()-7)</f>
        <v/>
      </c>
      <c r="B487" s="140" t="n"/>
      <c r="C487" s="140" t="n"/>
      <c r="D487" s="141" t="n"/>
      <c r="E487" s="141" t="n"/>
      <c r="F487" s="140" t="n"/>
      <c r="G487" s="142" t="n"/>
      <c r="H487" s="140" t="n"/>
      <c r="I487" s="143" t="n"/>
      <c r="J487" s="144" t="n"/>
      <c r="K487" s="140" t="n"/>
      <c r="L487" s="140" t="n"/>
      <c r="M487" s="145">
        <f>IF(OR(L487="",L487="PENDING"),"",IF(L487="P",I487,IF(L487="L",0,IF(G487&lt;0,I487+I487*100/ABS(G487),I487+I487*G487/100))))</f>
        <v/>
      </c>
      <c r="N487" s="146">
        <f>IF(OR(L487="",L487="PENDING"),"",IF(L487="P",0,IF(L487="L",-J487,IF(G487&lt;0,J487*100/ABS(G487),J487*G487/100))))</f>
        <v/>
      </c>
      <c r="O487" s="145">
        <f>IF(OR(L487="",L487="PENDING"),"",IF(L487="P",0,M487-I487))</f>
        <v/>
      </c>
    </row>
    <row r="488" ht="18" customHeight="1" s="91">
      <c r="A488" s="131">
        <f>IF(C488="","",ROW()-7)</f>
        <v/>
      </c>
      <c r="B488" s="132" t="n"/>
      <c r="C488" s="132" t="n"/>
      <c r="D488" s="133" t="n"/>
      <c r="E488" s="133" t="n"/>
      <c r="F488" s="132" t="n"/>
      <c r="G488" s="134" t="n"/>
      <c r="H488" s="132" t="n"/>
      <c r="I488" s="135" t="n"/>
      <c r="J488" s="136" t="n"/>
      <c r="K488" s="132" t="n"/>
      <c r="L488" s="132" t="n"/>
      <c r="M488" s="137">
        <f>IF(OR(L488="",L488="PENDING"),"",IF(L488="P",I488,IF(L488="L",0,IF(G488&lt;0,I488+I488*100/ABS(G488),I488+I488*G488/100))))</f>
        <v/>
      </c>
      <c r="N488" s="138">
        <f>IF(OR(L488="",L488="PENDING"),"",IF(L488="P",0,IF(L488="L",-J488,IF(G488&lt;0,J488*100/ABS(G488),J488*G488/100))))</f>
        <v/>
      </c>
      <c r="O488" s="137">
        <f>IF(OR(L488="",L488="PENDING"),"",IF(L488="P",0,M488-I488))</f>
        <v/>
      </c>
    </row>
    <row r="489" ht="18" customHeight="1" s="91">
      <c r="A489" s="139">
        <f>IF(C489="","",ROW()-7)</f>
        <v/>
      </c>
      <c r="B489" s="140" t="n"/>
      <c r="C489" s="140" t="n"/>
      <c r="D489" s="141" t="n"/>
      <c r="E489" s="141" t="n"/>
      <c r="F489" s="140" t="n"/>
      <c r="G489" s="142" t="n"/>
      <c r="H489" s="140" t="n"/>
      <c r="I489" s="143" t="n"/>
      <c r="J489" s="144" t="n"/>
      <c r="K489" s="140" t="n"/>
      <c r="L489" s="140" t="n"/>
      <c r="M489" s="145">
        <f>IF(OR(L489="",L489="PENDING"),"",IF(L489="P",I489,IF(L489="L",0,IF(G489&lt;0,I489+I489*100/ABS(G489),I489+I489*G489/100))))</f>
        <v/>
      </c>
      <c r="N489" s="146">
        <f>IF(OR(L489="",L489="PENDING"),"",IF(L489="P",0,IF(L489="L",-J489,IF(G489&lt;0,J489*100/ABS(G489),J489*G489/100))))</f>
        <v/>
      </c>
      <c r="O489" s="145">
        <f>IF(OR(L489="",L489="PENDING"),"",IF(L489="P",0,M489-I489))</f>
        <v/>
      </c>
    </row>
    <row r="490" ht="18" customHeight="1" s="91">
      <c r="A490" s="131">
        <f>IF(C490="","",ROW()-7)</f>
        <v/>
      </c>
      <c r="B490" s="132" t="n"/>
      <c r="C490" s="132" t="n"/>
      <c r="D490" s="133" t="n"/>
      <c r="E490" s="133" t="n"/>
      <c r="F490" s="132" t="n"/>
      <c r="G490" s="134" t="n"/>
      <c r="H490" s="132" t="n"/>
      <c r="I490" s="135" t="n"/>
      <c r="J490" s="136" t="n"/>
      <c r="K490" s="132" t="n"/>
      <c r="L490" s="132" t="n"/>
      <c r="M490" s="137">
        <f>IF(OR(L490="",L490="PENDING"),"",IF(L490="P",I490,IF(L490="L",0,IF(G490&lt;0,I490+I490*100/ABS(G490),I490+I490*G490/100))))</f>
        <v/>
      </c>
      <c r="N490" s="138">
        <f>IF(OR(L490="",L490="PENDING"),"",IF(L490="P",0,IF(L490="L",-J490,IF(G490&lt;0,J490*100/ABS(G490),J490*G490/100))))</f>
        <v/>
      </c>
      <c r="O490" s="137">
        <f>IF(OR(L490="",L490="PENDING"),"",IF(L490="P",0,M490-I490))</f>
        <v/>
      </c>
    </row>
    <row r="491" ht="18" customHeight="1" s="91">
      <c r="A491" s="139">
        <f>IF(C491="","",ROW()-7)</f>
        <v/>
      </c>
      <c r="B491" s="140" t="n"/>
      <c r="C491" s="140" t="n"/>
      <c r="D491" s="141" t="n"/>
      <c r="E491" s="141" t="n"/>
      <c r="F491" s="140" t="n"/>
      <c r="G491" s="142" t="n"/>
      <c r="H491" s="140" t="n"/>
      <c r="I491" s="143" t="n"/>
      <c r="J491" s="144" t="n"/>
      <c r="K491" s="140" t="n"/>
      <c r="L491" s="140" t="n"/>
      <c r="M491" s="145">
        <f>IF(OR(L491="",L491="PENDING"),"",IF(L491="P",I491,IF(L491="L",0,IF(G491&lt;0,I491+I491*100/ABS(G491),I491+I491*G491/100))))</f>
        <v/>
      </c>
      <c r="N491" s="146">
        <f>IF(OR(L491="",L491="PENDING"),"",IF(L491="P",0,IF(L491="L",-J491,IF(G491&lt;0,J491*100/ABS(G491),J491*G491/100))))</f>
        <v/>
      </c>
      <c r="O491" s="145">
        <f>IF(OR(L491="",L491="PENDING"),"",IF(L491="P",0,M491-I491))</f>
        <v/>
      </c>
    </row>
    <row r="492" ht="18" customHeight="1" s="91">
      <c r="A492" s="131">
        <f>IF(C492="","",ROW()-7)</f>
        <v/>
      </c>
      <c r="B492" s="132" t="n"/>
      <c r="C492" s="132" t="n"/>
      <c r="D492" s="133" t="n"/>
      <c r="E492" s="133" t="n"/>
      <c r="F492" s="132" t="n"/>
      <c r="G492" s="134" t="n"/>
      <c r="H492" s="132" t="n"/>
      <c r="I492" s="135" t="n"/>
      <c r="J492" s="136" t="n"/>
      <c r="K492" s="132" t="n"/>
      <c r="L492" s="132" t="n"/>
      <c r="M492" s="137">
        <f>IF(OR(L492="",L492="PENDING"),"",IF(L492="P",I492,IF(L492="L",0,IF(G492&lt;0,I492+I492*100/ABS(G492),I492+I492*G492/100))))</f>
        <v/>
      </c>
      <c r="N492" s="138">
        <f>IF(OR(L492="",L492="PENDING"),"",IF(L492="P",0,IF(L492="L",-J492,IF(G492&lt;0,J492*100/ABS(G492),J492*G492/100))))</f>
        <v/>
      </c>
      <c r="O492" s="137">
        <f>IF(OR(L492="",L492="PENDING"),"",IF(L492="P",0,M492-I492))</f>
        <v/>
      </c>
    </row>
    <row r="493" ht="18" customHeight="1" s="91">
      <c r="A493" s="139">
        <f>IF(C493="","",ROW()-7)</f>
        <v/>
      </c>
      <c r="B493" s="140" t="n"/>
      <c r="C493" s="140" t="n"/>
      <c r="D493" s="141" t="n"/>
      <c r="E493" s="141" t="n"/>
      <c r="F493" s="140" t="n"/>
      <c r="G493" s="142" t="n"/>
      <c r="H493" s="140" t="n"/>
      <c r="I493" s="143" t="n"/>
      <c r="J493" s="144" t="n"/>
      <c r="K493" s="140" t="n"/>
      <c r="L493" s="140" t="n"/>
      <c r="M493" s="145">
        <f>IF(OR(L493="",L493="PENDING"),"",IF(L493="P",I493,IF(L493="L",0,IF(G493&lt;0,I493+I493*100/ABS(G493),I493+I493*G493/100))))</f>
        <v/>
      </c>
      <c r="N493" s="146">
        <f>IF(OR(L493="",L493="PENDING"),"",IF(L493="P",0,IF(L493="L",-J493,IF(G493&lt;0,J493*100/ABS(G493),J493*G493/100))))</f>
        <v/>
      </c>
      <c r="O493" s="145">
        <f>IF(OR(L493="",L493="PENDING"),"",IF(L493="P",0,M493-I493))</f>
        <v/>
      </c>
    </row>
    <row r="494" ht="18" customHeight="1" s="91">
      <c r="A494" s="131">
        <f>IF(C494="","",ROW()-7)</f>
        <v/>
      </c>
      <c r="B494" s="132" t="n"/>
      <c r="C494" s="132" t="n"/>
      <c r="D494" s="133" t="n"/>
      <c r="E494" s="133" t="n"/>
      <c r="F494" s="132" t="n"/>
      <c r="G494" s="134" t="n"/>
      <c r="H494" s="132" t="n"/>
      <c r="I494" s="135" t="n"/>
      <c r="J494" s="136" t="n"/>
      <c r="K494" s="132" t="n"/>
      <c r="L494" s="132" t="n"/>
      <c r="M494" s="137">
        <f>IF(OR(L494="",L494="PENDING"),"",IF(L494="P",I494,IF(L494="L",0,IF(G494&lt;0,I494+I494*100/ABS(G494),I494+I494*G494/100))))</f>
        <v/>
      </c>
      <c r="N494" s="138">
        <f>IF(OR(L494="",L494="PENDING"),"",IF(L494="P",0,IF(L494="L",-J494,IF(G494&lt;0,J494*100/ABS(G494),J494*G494/100))))</f>
        <v/>
      </c>
      <c r="O494" s="137">
        <f>IF(OR(L494="",L494="PENDING"),"",IF(L494="P",0,M494-I494))</f>
        <v/>
      </c>
    </row>
    <row r="495" ht="18" customHeight="1" s="91">
      <c r="A495" s="139">
        <f>IF(C495="","",ROW()-7)</f>
        <v/>
      </c>
      <c r="B495" s="140" t="n"/>
      <c r="C495" s="140" t="n"/>
      <c r="D495" s="141" t="n"/>
      <c r="E495" s="141" t="n"/>
      <c r="F495" s="140" t="n"/>
      <c r="G495" s="142" t="n"/>
      <c r="H495" s="140" t="n"/>
      <c r="I495" s="143" t="n"/>
      <c r="J495" s="144" t="n"/>
      <c r="K495" s="140" t="n"/>
      <c r="L495" s="140" t="n"/>
      <c r="M495" s="145">
        <f>IF(OR(L495="",L495="PENDING"),"",IF(L495="P",I495,IF(L495="L",0,IF(G495&lt;0,I495+I495*100/ABS(G495),I495+I495*G495/100))))</f>
        <v/>
      </c>
      <c r="N495" s="146">
        <f>IF(OR(L495="",L495="PENDING"),"",IF(L495="P",0,IF(L495="L",-J495,IF(G495&lt;0,J495*100/ABS(G495),J495*G495/100))))</f>
        <v/>
      </c>
      <c r="O495" s="145">
        <f>IF(OR(L495="",L495="PENDING"),"",IF(L495="P",0,M495-I495))</f>
        <v/>
      </c>
    </row>
    <row r="496" ht="18" customHeight="1" s="91">
      <c r="A496" s="131">
        <f>IF(C496="","",ROW()-7)</f>
        <v/>
      </c>
      <c r="B496" s="132" t="n"/>
      <c r="C496" s="132" t="n"/>
      <c r="D496" s="133" t="n"/>
      <c r="E496" s="133" t="n"/>
      <c r="F496" s="132" t="n"/>
      <c r="G496" s="134" t="n"/>
      <c r="H496" s="132" t="n"/>
      <c r="I496" s="135" t="n"/>
      <c r="J496" s="136" t="n"/>
      <c r="K496" s="132" t="n"/>
      <c r="L496" s="132" t="n"/>
      <c r="M496" s="137">
        <f>IF(OR(L496="",L496="PENDING"),"",IF(L496="P",I496,IF(L496="L",0,IF(G496&lt;0,I496+I496*100/ABS(G496),I496+I496*G496/100))))</f>
        <v/>
      </c>
      <c r="N496" s="138">
        <f>IF(OR(L496="",L496="PENDING"),"",IF(L496="P",0,IF(L496="L",-J496,IF(G496&lt;0,J496*100/ABS(G496),J496*G496/100))))</f>
        <v/>
      </c>
      <c r="O496" s="137">
        <f>IF(OR(L496="",L496="PENDING"),"",IF(L496="P",0,M496-I496))</f>
        <v/>
      </c>
    </row>
    <row r="497" ht="18" customHeight="1" s="91">
      <c r="A497" s="139">
        <f>IF(C497="","",ROW()-7)</f>
        <v/>
      </c>
      <c r="B497" s="140" t="n"/>
      <c r="C497" s="140" t="n"/>
      <c r="D497" s="141" t="n"/>
      <c r="E497" s="141" t="n"/>
      <c r="F497" s="140" t="n"/>
      <c r="G497" s="142" t="n"/>
      <c r="H497" s="140" t="n"/>
      <c r="I497" s="143" t="n"/>
      <c r="J497" s="144" t="n"/>
      <c r="K497" s="140" t="n"/>
      <c r="L497" s="140" t="n"/>
      <c r="M497" s="145">
        <f>IF(OR(L497="",L497="PENDING"),"",IF(L497="P",I497,IF(L497="L",0,IF(G497&lt;0,I497+I497*100/ABS(G497),I497+I497*G497/100))))</f>
        <v/>
      </c>
      <c r="N497" s="146">
        <f>IF(OR(L497="",L497="PENDING"),"",IF(L497="P",0,IF(L497="L",-J497,IF(G497&lt;0,J497*100/ABS(G497),J497*G497/100))))</f>
        <v/>
      </c>
      <c r="O497" s="145">
        <f>IF(OR(L497="",L497="PENDING"),"",IF(L497="P",0,M497-I497))</f>
        <v/>
      </c>
    </row>
    <row r="498" ht="18" customHeight="1" s="91">
      <c r="A498" s="131">
        <f>IF(C498="","",ROW()-7)</f>
        <v/>
      </c>
      <c r="B498" s="132" t="n"/>
      <c r="C498" s="132" t="n"/>
      <c r="D498" s="133" t="n"/>
      <c r="E498" s="133" t="n"/>
      <c r="F498" s="132" t="n"/>
      <c r="G498" s="134" t="n"/>
      <c r="H498" s="132" t="n"/>
      <c r="I498" s="135" t="n"/>
      <c r="J498" s="136" t="n"/>
      <c r="K498" s="132" t="n"/>
      <c r="L498" s="132" t="n"/>
      <c r="M498" s="137">
        <f>IF(OR(L498="",L498="PENDING"),"",IF(L498="P",I498,IF(L498="L",0,IF(G498&lt;0,I498+I498*100/ABS(G498),I498+I498*G498/100))))</f>
        <v/>
      </c>
      <c r="N498" s="138">
        <f>IF(OR(L498="",L498="PENDING"),"",IF(L498="P",0,IF(L498="L",-J498,IF(G498&lt;0,J498*100/ABS(G498),J498*G498/100))))</f>
        <v/>
      </c>
      <c r="O498" s="137">
        <f>IF(OR(L498="",L498="PENDING"),"",IF(L498="P",0,M498-I498))</f>
        <v/>
      </c>
    </row>
    <row r="499" ht="18" customHeight="1" s="91">
      <c r="A499" s="139">
        <f>IF(C499="","",ROW()-7)</f>
        <v/>
      </c>
      <c r="B499" s="140" t="n"/>
      <c r="C499" s="140" t="n"/>
      <c r="D499" s="141" t="n"/>
      <c r="E499" s="141" t="n"/>
      <c r="F499" s="140" t="n"/>
      <c r="G499" s="142" t="n"/>
      <c r="H499" s="140" t="n"/>
      <c r="I499" s="143" t="n"/>
      <c r="J499" s="144" t="n"/>
      <c r="K499" s="140" t="n"/>
      <c r="L499" s="140" t="n"/>
      <c r="M499" s="145">
        <f>IF(OR(L499="",L499="PENDING"),"",IF(L499="P",I499,IF(L499="L",0,IF(G499&lt;0,I499+I499*100/ABS(G499),I499+I499*G499/100))))</f>
        <v/>
      </c>
      <c r="N499" s="146">
        <f>IF(OR(L499="",L499="PENDING"),"",IF(L499="P",0,IF(L499="L",-J499,IF(G499&lt;0,J499*100/ABS(G499),J499*G499/100))))</f>
        <v/>
      </c>
      <c r="O499" s="145">
        <f>IF(OR(L499="",L499="PENDING"),"",IF(L499="P",0,M499-I499))</f>
        <v/>
      </c>
    </row>
    <row r="500" ht="18" customHeight="1" s="91">
      <c r="A500" s="131">
        <f>IF(C500="","",ROW()-7)</f>
        <v/>
      </c>
      <c r="B500" s="132" t="n"/>
      <c r="C500" s="132" t="n"/>
      <c r="D500" s="133" t="n"/>
      <c r="E500" s="133" t="n"/>
      <c r="F500" s="132" t="n"/>
      <c r="G500" s="134" t="n"/>
      <c r="H500" s="132" t="n"/>
      <c r="I500" s="135" t="n"/>
      <c r="J500" s="136" t="n"/>
      <c r="K500" s="132" t="n"/>
      <c r="L500" s="132" t="n"/>
      <c r="M500" s="137">
        <f>IF(OR(L500="",L500="PENDING"),"",IF(L500="P",I500,IF(L500="L",0,IF(G500&lt;0,I500+I500*100/ABS(G500),I500+I500*G500/100))))</f>
        <v/>
      </c>
      <c r="N500" s="138">
        <f>IF(OR(L500="",L500="PENDING"),"",IF(L500="P",0,IF(L500="L",-J500,IF(G500&lt;0,J500*100/ABS(G500),J500*G500/100))))</f>
        <v/>
      </c>
      <c r="O500" s="137">
        <f>IF(OR(L500="",L500="PENDING"),"",IF(L500="P",0,M500-I500))</f>
        <v/>
      </c>
    </row>
    <row r="501" ht="18" customHeight="1" s="91">
      <c r="A501" s="139">
        <f>IF(C501="","",ROW()-7)</f>
        <v/>
      </c>
      <c r="B501" s="140" t="n"/>
      <c r="C501" s="140" t="n"/>
      <c r="D501" s="141" t="n"/>
      <c r="E501" s="141" t="n"/>
      <c r="F501" s="140" t="n"/>
      <c r="G501" s="142" t="n"/>
      <c r="H501" s="140" t="n"/>
      <c r="I501" s="143" t="n"/>
      <c r="J501" s="144" t="n"/>
      <c r="K501" s="140" t="n"/>
      <c r="L501" s="140" t="n"/>
      <c r="M501" s="145">
        <f>IF(OR(L501="",L501="PENDING"),"",IF(L501="P",I501,IF(L501="L",0,IF(G501&lt;0,I501+I501*100/ABS(G501),I501+I501*G501/100))))</f>
        <v/>
      </c>
      <c r="N501" s="146">
        <f>IF(OR(L501="",L501="PENDING"),"",IF(L501="P",0,IF(L501="L",-J501,IF(G501&lt;0,J501*100/ABS(G501),J501*G501/100))))</f>
        <v/>
      </c>
      <c r="O501" s="145">
        <f>IF(OR(L501="",L501="PENDING"),"",IF(L501="P",0,M501-I501))</f>
        <v/>
      </c>
    </row>
    <row r="502" ht="18" customHeight="1" s="91">
      <c r="A502" s="131">
        <f>IF(C502="","",ROW()-7)</f>
        <v/>
      </c>
      <c r="B502" s="132" t="n"/>
      <c r="C502" s="132" t="n"/>
      <c r="D502" s="133" t="n"/>
      <c r="E502" s="133" t="n"/>
      <c r="F502" s="132" t="n"/>
      <c r="G502" s="134" t="n"/>
      <c r="H502" s="132" t="n"/>
      <c r="I502" s="135" t="n"/>
      <c r="J502" s="136" t="n"/>
      <c r="K502" s="132" t="n"/>
      <c r="L502" s="132" t="n"/>
      <c r="M502" s="137">
        <f>IF(OR(L502="",L502="PENDING"),"",IF(L502="P",I502,IF(L502="L",0,IF(G502&lt;0,I502+I502*100/ABS(G502),I502+I502*G502/100))))</f>
        <v/>
      </c>
      <c r="N502" s="138">
        <f>IF(OR(L502="",L502="PENDING"),"",IF(L502="P",0,IF(L502="L",-J502,IF(G502&lt;0,J502*100/ABS(G502),J502*G502/100))))</f>
        <v/>
      </c>
      <c r="O502" s="137">
        <f>IF(OR(L502="",L502="PENDING"),"",IF(L502="P",0,M502-I502))</f>
        <v/>
      </c>
    </row>
    <row r="503" ht="18" customHeight="1" s="91">
      <c r="A503" s="139">
        <f>IF(C503="","",ROW()-7)</f>
        <v/>
      </c>
      <c r="B503" s="140" t="n"/>
      <c r="C503" s="140" t="n"/>
      <c r="D503" s="141" t="n"/>
      <c r="E503" s="141" t="n"/>
      <c r="F503" s="140" t="n"/>
      <c r="G503" s="142" t="n"/>
      <c r="H503" s="140" t="n"/>
      <c r="I503" s="143" t="n"/>
      <c r="J503" s="144" t="n"/>
      <c r="K503" s="140" t="n"/>
      <c r="L503" s="140" t="n"/>
      <c r="M503" s="145">
        <f>IF(OR(L503="",L503="PENDING"),"",IF(L503="P",I503,IF(L503="L",0,IF(G503&lt;0,I503+I503*100/ABS(G503),I503+I503*G503/100))))</f>
        <v/>
      </c>
      <c r="N503" s="146">
        <f>IF(OR(L503="",L503="PENDING"),"",IF(L503="P",0,IF(L503="L",-J503,IF(G503&lt;0,J503*100/ABS(G503),J503*G503/100))))</f>
        <v/>
      </c>
      <c r="O503" s="145">
        <f>IF(OR(L503="",L503="PENDING"),"",IF(L503="P",0,M503-I503))</f>
        <v/>
      </c>
    </row>
    <row r="504" ht="18" customHeight="1" s="91">
      <c r="A504" s="131">
        <f>IF(C504="","",ROW()-7)</f>
        <v/>
      </c>
      <c r="B504" s="132" t="n"/>
      <c r="C504" s="132" t="n"/>
      <c r="D504" s="133" t="n"/>
      <c r="E504" s="133" t="n"/>
      <c r="F504" s="132" t="n"/>
      <c r="G504" s="134" t="n"/>
      <c r="H504" s="132" t="n"/>
      <c r="I504" s="135" t="n"/>
      <c r="J504" s="136" t="n"/>
      <c r="K504" s="132" t="n"/>
      <c r="L504" s="132" t="n"/>
      <c r="M504" s="137">
        <f>IF(OR(L504="",L504="PENDING"),"",IF(L504="P",I504,IF(L504="L",0,IF(G504&lt;0,I504+I504*100/ABS(G504),I504+I504*G504/100))))</f>
        <v/>
      </c>
      <c r="N504" s="138">
        <f>IF(OR(L504="",L504="PENDING"),"",IF(L504="P",0,IF(L504="L",-J504,IF(G504&lt;0,J504*100/ABS(G504),J504*G504/100))))</f>
        <v/>
      </c>
      <c r="O504" s="137">
        <f>IF(OR(L504="",L504="PENDING"),"",IF(L504="P",0,M504-I504))</f>
        <v/>
      </c>
    </row>
    <row r="505" ht="18" customHeight="1" s="91">
      <c r="A505" s="139">
        <f>IF(C505="","",ROW()-7)</f>
        <v/>
      </c>
      <c r="B505" s="140" t="n"/>
      <c r="C505" s="140" t="n"/>
      <c r="D505" s="141" t="n"/>
      <c r="E505" s="141" t="n"/>
      <c r="F505" s="140" t="n"/>
      <c r="G505" s="142" t="n"/>
      <c r="H505" s="140" t="n"/>
      <c r="I505" s="143" t="n"/>
      <c r="J505" s="144" t="n"/>
      <c r="K505" s="140" t="n"/>
      <c r="L505" s="140" t="n"/>
      <c r="M505" s="145">
        <f>IF(OR(L505="",L505="PENDING"),"",IF(L505="P",I505,IF(L505="L",0,IF(G505&lt;0,I505+I505*100/ABS(G505),I505+I505*G505/100))))</f>
        <v/>
      </c>
      <c r="N505" s="146">
        <f>IF(OR(L505="",L505="PENDING"),"",IF(L505="P",0,IF(L505="L",-J505,IF(G505&lt;0,J505*100/ABS(G505),J505*G505/100))))</f>
        <v/>
      </c>
      <c r="O505" s="145">
        <f>IF(OR(L505="",L505="PENDING"),"",IF(L505="P",0,M505-I505))</f>
        <v/>
      </c>
    </row>
    <row r="506" ht="18" customHeight="1" s="91">
      <c r="A506" s="131">
        <f>IF(C506="","",ROW()-7)</f>
        <v/>
      </c>
      <c r="B506" s="132" t="n"/>
      <c r="C506" s="132" t="n"/>
      <c r="D506" s="133" t="n"/>
      <c r="E506" s="133" t="n"/>
      <c r="F506" s="132" t="n"/>
      <c r="G506" s="134" t="n"/>
      <c r="H506" s="132" t="n"/>
      <c r="I506" s="135" t="n"/>
      <c r="J506" s="136" t="n"/>
      <c r="K506" s="132" t="n"/>
      <c r="L506" s="132" t="n"/>
      <c r="M506" s="137">
        <f>IF(OR(L506="",L506="PENDING"),"",IF(L506="P",I506,IF(L506="L",0,IF(G506&lt;0,I506+I506*100/ABS(G506),I506+I506*G506/100))))</f>
        <v/>
      </c>
      <c r="N506" s="138">
        <f>IF(OR(L506="",L506="PENDING"),"",IF(L506="P",0,IF(L506="L",-J506,IF(G506&lt;0,J506*100/ABS(G506),J506*G506/100))))</f>
        <v/>
      </c>
      <c r="O506" s="137">
        <f>IF(OR(L506="",L506="PENDING"),"",IF(L506="P",0,M506-I506))</f>
        <v/>
      </c>
    </row>
    <row r="507" ht="18" customHeight="1" s="91">
      <c r="A507" s="139">
        <f>IF(C507="","",ROW()-7)</f>
        <v/>
      </c>
      <c r="B507" s="140" t="n"/>
      <c r="C507" s="140" t="n"/>
      <c r="D507" s="141" t="n"/>
      <c r="E507" s="141" t="n"/>
      <c r="F507" s="140" t="n"/>
      <c r="G507" s="142" t="n"/>
      <c r="H507" s="140" t="n"/>
      <c r="I507" s="143" t="n"/>
      <c r="J507" s="144" t="n"/>
      <c r="K507" s="140" t="n"/>
      <c r="L507" s="140" t="n"/>
      <c r="M507" s="145">
        <f>IF(OR(L507="",L507="PENDING"),"",IF(L507="P",I507,IF(L507="L",0,IF(G507&lt;0,I507+I507*100/ABS(G507),I507+I507*G507/100))))</f>
        <v/>
      </c>
      <c r="N507" s="146">
        <f>IF(OR(L507="",L507="PENDING"),"",IF(L507="P",0,IF(L507="L",-J507,IF(G507&lt;0,J507*100/ABS(G507),J507*G507/100))))</f>
        <v/>
      </c>
      <c r="O507" s="145">
        <f>IF(OR(L507="",L507="PENDING"),"",IF(L507="P",0,M507-I507))</f>
        <v/>
      </c>
    </row>
  </sheetData>
  <autoFilter ref="A7:O507"/>
  <mergeCells count="3">
    <mergeCell ref="A1:O1"/>
    <mergeCell ref="A3:O3"/>
    <mergeCell ref="A2:O2"/>
  </mergeCells>
  <conditionalFormatting sqref="L8:L507">
    <cfRule type="cellIs" rank="0" priority="2" equalAverage="0" operator="equal" aboveAverage="0" dxfId="13" text="" percent="0" bottom="0">
      <formula>"W"</formula>
    </cfRule>
    <cfRule type="cellIs" rank="0" priority="3" equalAverage="0" operator="equal" aboveAverage="0" dxfId="14" text="" percent="0" bottom="0">
      <formula>"L"</formula>
    </cfRule>
    <cfRule type="cellIs" rank="0" priority="4" equalAverage="0" operator="equal" aboveAverage="0" dxfId="15" text="" percent="0" bottom="0">
      <formula>"P"</formula>
    </cfRule>
    <cfRule type="cellIs" rank="0" priority="5" equalAverage="0" operator="equal" aboveAverage="0" dxfId="16" text="" percent="0" bottom="0">
      <formula>"PENDING"</formula>
    </cfRule>
  </conditionalFormatting>
  <printOptions horizontalCentered="0" verticalCentered="0" headings="0" gridLines="0" gridLinesSet="1"/>
  <pageMargins left="0.75" right="0.75" top="1" bottom="1" header="0.5" footer="0.5"/>
  <pageSetup orientation="landscape" paperSize="3" scale="100" fitToHeight="0" fitToWidth="1" pageOrder="downThenOver" blackAndWhite="0" draft="0" horizontalDpi="300" verticalDpi="300" copies="1"/>
  <headerFooter differentOddEven="0" differentFirst="0">
    <oddHeader>&amp;L2026 NFL Bet Tracker — Bets</oddHeader>
    <oddFooter>&amp;LBlue text = inputs  •  Black = formulas&amp;RPage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L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90" min="1" max="1"/>
    <col width="22" customWidth="1" style="90" min="2" max="2"/>
    <col width="28" customWidth="1" style="90" min="3" max="3"/>
    <col width="10" customWidth="1" style="90" min="4" max="4"/>
    <col width="14" customWidth="1" style="90" min="5" max="5"/>
    <col width="12" customWidth="1" style="90" min="6" max="7"/>
    <col width="10" customWidth="1" style="90" min="8" max="8"/>
    <col width="12" customWidth="1" style="90" min="9" max="12"/>
  </cols>
  <sheetData>
    <row r="1" ht="25.5" customHeight="1" s="91">
      <c r="A1" s="154" t="inlineStr">
        <is>
          <t>FUTURES  •  FRD (rarely used)</t>
        </is>
      </c>
    </row>
    <row r="2" ht="15" customHeight="1" s="91">
      <c r="A2" s="128" t="inlineStr">
        <is>
          <t>Super Bowl, division, win totals, awards. Stay here until the market settles.</t>
        </is>
      </c>
    </row>
    <row r="4" ht="15" customHeight="1" s="91">
      <c r="A4" s="155" t="inlineStr">
        <is>
          <t>ID</t>
        </is>
      </c>
      <c r="B4" s="155" t="inlineStr">
        <is>
          <t>Market</t>
        </is>
      </c>
      <c r="C4" s="155" t="inlineStr">
        <is>
          <t>Pick</t>
        </is>
      </c>
      <c r="D4" s="155" t="inlineStr">
        <is>
          <t>Odds</t>
        </is>
      </c>
      <c r="E4" s="155" t="inlineStr">
        <is>
          <t>Book</t>
        </is>
      </c>
      <c r="F4" s="155" t="inlineStr">
        <is>
          <t>Date In</t>
        </is>
      </c>
      <c r="G4" s="155" t="inlineStr">
        <is>
          <t>Stake $</t>
        </is>
      </c>
      <c r="H4" s="155" t="inlineStr">
        <is>
          <t>Units</t>
        </is>
      </c>
      <c r="I4" s="155" t="inlineStr">
        <is>
          <t>Status</t>
        </is>
      </c>
      <c r="J4" s="155" t="inlineStr">
        <is>
          <t>Payout $</t>
        </is>
      </c>
      <c r="K4" s="155" t="inlineStr">
        <is>
          <t>Units Won</t>
        </is>
      </c>
      <c r="L4" s="155" t="inlineStr">
        <is>
          <t>Profit $</t>
        </is>
      </c>
    </row>
    <row r="5" ht="15" customHeight="1" s="91">
      <c r="A5" s="156">
        <f>IF(B5="","",ROW()-4)</f>
        <v/>
      </c>
      <c r="B5" s="157" t="n"/>
      <c r="C5" s="157" t="n"/>
      <c r="D5" s="158" t="n"/>
      <c r="E5" s="157" t="n"/>
      <c r="F5" s="157" t="n"/>
      <c r="G5" s="159" t="n"/>
      <c r="H5" s="157" t="n"/>
      <c r="I5" s="157" t="n"/>
      <c r="J5" s="160">
        <f>IF(OR(I5="",I5="PENDING"),"",IF(I5="P",G5,IF(I5="L",0,IF(D5&lt;0,G5+G5*100/ABS(D5),G5+G5*D5/100))))</f>
        <v/>
      </c>
      <c r="K5" s="161">
        <f>IF(OR(I5="",I5="PENDING"),"",IF(I5="P",0,IF(I5="L",-H5,IF(D5&lt;0,H5*100/ABS(D5),H5*D5/100))))</f>
        <v/>
      </c>
      <c r="L5" s="160">
        <f>IF(OR(I5="",I5="PENDING"),"",IF(I5="P",0,J5-G5))</f>
        <v/>
      </c>
    </row>
    <row r="6" ht="15" customHeight="1" s="91">
      <c r="A6" s="162">
        <f>IF(B6="","",ROW()-4)</f>
        <v/>
      </c>
      <c r="B6" s="163" t="n"/>
      <c r="C6" s="163" t="n"/>
      <c r="D6" s="164" t="n"/>
      <c r="E6" s="163" t="n"/>
      <c r="F6" s="163" t="n"/>
      <c r="G6" s="165" t="n"/>
      <c r="H6" s="163" t="n"/>
      <c r="I6" s="163" t="n"/>
      <c r="J6" s="166">
        <f>IF(OR(I6="",I6="PENDING"),"",IF(I6="P",G6,IF(I6="L",0,IF(D6&lt;0,G6+G6*100/ABS(D6),G6+G6*D6/100))))</f>
        <v/>
      </c>
      <c r="K6" s="167">
        <f>IF(OR(I6="",I6="PENDING"),"",IF(I6="P",0,IF(I6="L",-H6,IF(D6&lt;0,H6*100/ABS(D6),H6*D6/100))))</f>
        <v/>
      </c>
      <c r="L6" s="166">
        <f>IF(OR(I6="",I6="PENDING"),"",IF(I6="P",0,J6-G6))</f>
        <v/>
      </c>
    </row>
    <row r="7" ht="15" customHeight="1" s="91">
      <c r="A7" s="156">
        <f>IF(B7="","",ROW()-4)</f>
        <v/>
      </c>
      <c r="B7" s="157" t="n"/>
      <c r="C7" s="157" t="n"/>
      <c r="D7" s="158" t="n"/>
      <c r="E7" s="157" t="n"/>
      <c r="F7" s="157" t="n"/>
      <c r="G7" s="159" t="n"/>
      <c r="H7" s="157" t="n"/>
      <c r="I7" s="157" t="n"/>
      <c r="J7" s="160">
        <f>IF(OR(I7="",I7="PENDING"),"",IF(I7="P",G7,IF(I7="L",0,IF(D7&lt;0,G7+G7*100/ABS(D7),G7+G7*D7/100))))</f>
        <v/>
      </c>
      <c r="K7" s="161">
        <f>IF(OR(I7="",I7="PENDING"),"",IF(I7="P",0,IF(I7="L",-H7,IF(D7&lt;0,H7*100/ABS(D7),H7*D7/100))))</f>
        <v/>
      </c>
      <c r="L7" s="160">
        <f>IF(OR(I7="",I7="PENDING"),"",IF(I7="P",0,J7-G7))</f>
        <v/>
      </c>
    </row>
    <row r="8" ht="15" customHeight="1" s="91">
      <c r="A8" s="162">
        <f>IF(B8="","",ROW()-4)</f>
        <v/>
      </c>
      <c r="B8" s="163" t="n"/>
      <c r="C8" s="163" t="n"/>
      <c r="D8" s="164" t="n"/>
      <c r="E8" s="163" t="n"/>
      <c r="F8" s="163" t="n"/>
      <c r="G8" s="165" t="n"/>
      <c r="H8" s="163" t="n"/>
      <c r="I8" s="163" t="n"/>
      <c r="J8" s="166">
        <f>IF(OR(I8="",I8="PENDING"),"",IF(I8="P",G8,IF(I8="L",0,IF(D8&lt;0,G8+G8*100/ABS(D8),G8+G8*D8/100))))</f>
        <v/>
      </c>
      <c r="K8" s="167">
        <f>IF(OR(I8="",I8="PENDING"),"",IF(I8="P",0,IF(I8="L",-H8,IF(D8&lt;0,H8*100/ABS(D8),H8*D8/100))))</f>
        <v/>
      </c>
      <c r="L8" s="166">
        <f>IF(OR(I8="",I8="PENDING"),"",IF(I8="P",0,J8-G8))</f>
        <v/>
      </c>
    </row>
    <row r="9" ht="15" customHeight="1" s="91">
      <c r="A9" s="156">
        <f>IF(B9="","",ROW()-4)</f>
        <v/>
      </c>
      <c r="B9" s="157" t="n"/>
      <c r="C9" s="157" t="n"/>
      <c r="D9" s="158" t="n"/>
      <c r="E9" s="157" t="n"/>
      <c r="F9" s="157" t="n"/>
      <c r="G9" s="159" t="n"/>
      <c r="H9" s="157" t="n"/>
      <c r="I9" s="157" t="n"/>
      <c r="J9" s="160">
        <f>IF(OR(I9="",I9="PENDING"),"",IF(I9="P",G9,IF(I9="L",0,IF(D9&lt;0,G9+G9*100/ABS(D9),G9+G9*D9/100))))</f>
        <v/>
      </c>
      <c r="K9" s="161">
        <f>IF(OR(I9="",I9="PENDING"),"",IF(I9="P",0,IF(I9="L",-H9,IF(D9&lt;0,H9*100/ABS(D9),H9*D9/100))))</f>
        <v/>
      </c>
      <c r="L9" s="160">
        <f>IF(OR(I9="",I9="PENDING"),"",IF(I9="P",0,J9-G9))</f>
        <v/>
      </c>
    </row>
    <row r="10" ht="15" customHeight="1" s="91">
      <c r="A10" s="162">
        <f>IF(B10="","",ROW()-4)</f>
        <v/>
      </c>
      <c r="B10" s="163" t="n"/>
      <c r="C10" s="163" t="n"/>
      <c r="D10" s="164" t="n"/>
      <c r="E10" s="163" t="n"/>
      <c r="F10" s="163" t="n"/>
      <c r="G10" s="165" t="n"/>
      <c r="H10" s="163" t="n"/>
      <c r="I10" s="163" t="n"/>
      <c r="J10" s="166">
        <f>IF(OR(I10="",I10="PENDING"),"",IF(I10="P",G10,IF(I10="L",0,IF(D10&lt;0,G10+G10*100/ABS(D10),G10+G10*D10/100))))</f>
        <v/>
      </c>
      <c r="K10" s="167">
        <f>IF(OR(I10="",I10="PENDING"),"",IF(I10="P",0,IF(I10="L",-H10,IF(D10&lt;0,H10*100/ABS(D10),H10*D10/100))))</f>
        <v/>
      </c>
      <c r="L10" s="166">
        <f>IF(OR(I10="",I10="PENDING"),"",IF(I10="P",0,J10-G10))</f>
        <v/>
      </c>
    </row>
    <row r="11" ht="15" customHeight="1" s="91">
      <c r="A11" s="156">
        <f>IF(B11="","",ROW()-4)</f>
        <v/>
      </c>
      <c r="B11" s="157" t="n"/>
      <c r="C11" s="157" t="n"/>
      <c r="D11" s="158" t="n"/>
      <c r="E11" s="157" t="n"/>
      <c r="F11" s="157" t="n"/>
      <c r="G11" s="159" t="n"/>
      <c r="H11" s="157" t="n"/>
      <c r="I11" s="157" t="n"/>
      <c r="J11" s="160">
        <f>IF(OR(I11="",I11="PENDING"),"",IF(I11="P",G11,IF(I11="L",0,IF(D11&lt;0,G11+G11*100/ABS(D11),G11+G11*D11/100))))</f>
        <v/>
      </c>
      <c r="K11" s="161">
        <f>IF(OR(I11="",I11="PENDING"),"",IF(I11="P",0,IF(I11="L",-H11,IF(D11&lt;0,H11*100/ABS(D11),H11*D11/100))))</f>
        <v/>
      </c>
      <c r="L11" s="160">
        <f>IF(OR(I11="",I11="PENDING"),"",IF(I11="P",0,J11-G11))</f>
        <v/>
      </c>
    </row>
    <row r="12" ht="15" customHeight="1" s="91">
      <c r="A12" s="162">
        <f>IF(B12="","",ROW()-4)</f>
        <v/>
      </c>
      <c r="B12" s="163" t="n"/>
      <c r="C12" s="163" t="n"/>
      <c r="D12" s="164" t="n"/>
      <c r="E12" s="163" t="n"/>
      <c r="F12" s="163" t="n"/>
      <c r="G12" s="165" t="n"/>
      <c r="H12" s="163" t="n"/>
      <c r="I12" s="163" t="n"/>
      <c r="J12" s="166">
        <f>IF(OR(I12="",I12="PENDING"),"",IF(I12="P",G12,IF(I12="L",0,IF(D12&lt;0,G12+G12*100/ABS(D12),G12+G12*D12/100))))</f>
        <v/>
      </c>
      <c r="K12" s="167">
        <f>IF(OR(I12="",I12="PENDING"),"",IF(I12="P",0,IF(I12="L",-H12,IF(D12&lt;0,H12*100/ABS(D12),H12*D12/100))))</f>
        <v/>
      </c>
      <c r="L12" s="166">
        <f>IF(OR(I12="",I12="PENDING"),"",IF(I12="P",0,J12-G12))</f>
        <v/>
      </c>
    </row>
    <row r="13" ht="15" customHeight="1" s="91">
      <c r="A13" s="156">
        <f>IF(B13="","",ROW()-4)</f>
        <v/>
      </c>
      <c r="B13" s="157" t="n"/>
      <c r="C13" s="157" t="n"/>
      <c r="D13" s="158" t="n"/>
      <c r="E13" s="157" t="n"/>
      <c r="F13" s="157" t="n"/>
      <c r="G13" s="159" t="n"/>
      <c r="H13" s="157" t="n"/>
      <c r="I13" s="157" t="n"/>
      <c r="J13" s="160">
        <f>IF(OR(I13="",I13="PENDING"),"",IF(I13="P",G13,IF(I13="L",0,IF(D13&lt;0,G13+G13*100/ABS(D13),G13+G13*D13/100))))</f>
        <v/>
      </c>
      <c r="K13" s="161">
        <f>IF(OR(I13="",I13="PENDING"),"",IF(I13="P",0,IF(I13="L",-H13,IF(D13&lt;0,H13*100/ABS(D13),H13*D13/100))))</f>
        <v/>
      </c>
      <c r="L13" s="160">
        <f>IF(OR(I13="",I13="PENDING"),"",IF(I13="P",0,J13-G13))</f>
        <v/>
      </c>
    </row>
    <row r="14" ht="15" customHeight="1" s="91">
      <c r="A14" s="162">
        <f>IF(B14="","",ROW()-4)</f>
        <v/>
      </c>
      <c r="B14" s="163" t="n"/>
      <c r="C14" s="163" t="n"/>
      <c r="D14" s="164" t="n"/>
      <c r="E14" s="163" t="n"/>
      <c r="F14" s="163" t="n"/>
      <c r="G14" s="165" t="n"/>
      <c r="H14" s="163" t="n"/>
      <c r="I14" s="163" t="n"/>
      <c r="J14" s="166">
        <f>IF(OR(I14="",I14="PENDING"),"",IF(I14="P",G14,IF(I14="L",0,IF(D14&lt;0,G14+G14*100/ABS(D14),G14+G14*D14/100))))</f>
        <v/>
      </c>
      <c r="K14" s="167">
        <f>IF(OR(I14="",I14="PENDING"),"",IF(I14="P",0,IF(I14="L",-H14,IF(D14&lt;0,H14*100/ABS(D14),H14*D14/100))))</f>
        <v/>
      </c>
      <c r="L14" s="166">
        <f>IF(OR(I14="",I14="PENDING"),"",IF(I14="P",0,J14-G14))</f>
        <v/>
      </c>
    </row>
    <row r="15" ht="15" customHeight="1" s="91">
      <c r="A15" s="156">
        <f>IF(B15="","",ROW()-4)</f>
        <v/>
      </c>
      <c r="B15" s="157" t="n"/>
      <c r="C15" s="157" t="n"/>
      <c r="D15" s="158" t="n"/>
      <c r="E15" s="157" t="n"/>
      <c r="F15" s="157" t="n"/>
      <c r="G15" s="159" t="n"/>
      <c r="H15" s="157" t="n"/>
      <c r="I15" s="157" t="n"/>
      <c r="J15" s="160">
        <f>IF(OR(I15="",I15="PENDING"),"",IF(I15="P",G15,IF(I15="L",0,IF(D15&lt;0,G15+G15*100/ABS(D15),G15+G15*D15/100))))</f>
        <v/>
      </c>
      <c r="K15" s="161">
        <f>IF(OR(I15="",I15="PENDING"),"",IF(I15="P",0,IF(I15="L",-H15,IF(D15&lt;0,H15*100/ABS(D15),H15*D15/100))))</f>
        <v/>
      </c>
      <c r="L15" s="160">
        <f>IF(OR(I15="",I15="PENDING"),"",IF(I15="P",0,J15-G15))</f>
        <v/>
      </c>
    </row>
    <row r="16" ht="15" customHeight="1" s="91">
      <c r="A16" s="162">
        <f>IF(B16="","",ROW()-4)</f>
        <v/>
      </c>
      <c r="B16" s="163" t="n"/>
      <c r="C16" s="163" t="n"/>
      <c r="D16" s="164" t="n"/>
      <c r="E16" s="163" t="n"/>
      <c r="F16" s="163" t="n"/>
      <c r="G16" s="165" t="n"/>
      <c r="H16" s="163" t="n"/>
      <c r="I16" s="163" t="n"/>
      <c r="J16" s="166">
        <f>IF(OR(I16="",I16="PENDING"),"",IF(I16="P",G16,IF(I16="L",0,IF(D16&lt;0,G16+G16*100/ABS(D16),G16+G16*D16/100))))</f>
        <v/>
      </c>
      <c r="K16" s="167">
        <f>IF(OR(I16="",I16="PENDING"),"",IF(I16="P",0,IF(I16="L",-H16,IF(D16&lt;0,H16*100/ABS(D16),H16*D16/100))))</f>
        <v/>
      </c>
      <c r="L16" s="166">
        <f>IF(OR(I16="",I16="PENDING"),"",IF(I16="P",0,J16-G16))</f>
        <v/>
      </c>
    </row>
    <row r="17" ht="15" customHeight="1" s="91">
      <c r="A17" s="156">
        <f>IF(B17="","",ROW()-4)</f>
        <v/>
      </c>
      <c r="B17" s="157" t="n"/>
      <c r="C17" s="157" t="n"/>
      <c r="D17" s="158" t="n"/>
      <c r="E17" s="157" t="n"/>
      <c r="F17" s="157" t="n"/>
      <c r="G17" s="159" t="n"/>
      <c r="H17" s="157" t="n"/>
      <c r="I17" s="157" t="n"/>
      <c r="J17" s="160">
        <f>IF(OR(I17="",I17="PENDING"),"",IF(I17="P",G17,IF(I17="L",0,IF(D17&lt;0,G17+G17*100/ABS(D17),G17+G17*D17/100))))</f>
        <v/>
      </c>
      <c r="K17" s="161">
        <f>IF(OR(I17="",I17="PENDING"),"",IF(I17="P",0,IF(I17="L",-H17,IF(D17&lt;0,H17*100/ABS(D17),H17*D17/100))))</f>
        <v/>
      </c>
      <c r="L17" s="160">
        <f>IF(OR(I17="",I17="PENDING"),"",IF(I17="P",0,J17-G17))</f>
        <v/>
      </c>
    </row>
    <row r="18" ht="15" customHeight="1" s="91">
      <c r="A18" s="162">
        <f>IF(B18="","",ROW()-4)</f>
        <v/>
      </c>
      <c r="B18" s="163" t="n"/>
      <c r="C18" s="163" t="n"/>
      <c r="D18" s="164" t="n"/>
      <c r="E18" s="163" t="n"/>
      <c r="F18" s="163" t="n"/>
      <c r="G18" s="165" t="n"/>
      <c r="H18" s="163" t="n"/>
      <c r="I18" s="163" t="n"/>
      <c r="J18" s="166">
        <f>IF(OR(I18="",I18="PENDING"),"",IF(I18="P",G18,IF(I18="L",0,IF(D18&lt;0,G18+G18*100/ABS(D18),G18+G18*D18/100))))</f>
        <v/>
      </c>
      <c r="K18" s="167">
        <f>IF(OR(I18="",I18="PENDING"),"",IF(I18="P",0,IF(I18="L",-H18,IF(D18&lt;0,H18*100/ABS(D18),H18*D18/100))))</f>
        <v/>
      </c>
      <c r="L18" s="166">
        <f>IF(OR(I18="",I18="PENDING"),"",IF(I18="P",0,J18-G18))</f>
        <v/>
      </c>
    </row>
    <row r="19" ht="15" customHeight="1" s="91">
      <c r="A19" s="156">
        <f>IF(B19="","",ROW()-4)</f>
        <v/>
      </c>
      <c r="B19" s="157" t="n"/>
      <c r="C19" s="157" t="n"/>
      <c r="D19" s="158" t="n"/>
      <c r="E19" s="157" t="n"/>
      <c r="F19" s="157" t="n"/>
      <c r="G19" s="159" t="n"/>
      <c r="H19" s="157" t="n"/>
      <c r="I19" s="157" t="n"/>
      <c r="J19" s="160">
        <f>IF(OR(I19="",I19="PENDING"),"",IF(I19="P",G19,IF(I19="L",0,IF(D19&lt;0,G19+G19*100/ABS(D19),G19+G19*D19/100))))</f>
        <v/>
      </c>
      <c r="K19" s="161">
        <f>IF(OR(I19="",I19="PENDING"),"",IF(I19="P",0,IF(I19="L",-H19,IF(D19&lt;0,H19*100/ABS(D19),H19*D19/100))))</f>
        <v/>
      </c>
      <c r="L19" s="160">
        <f>IF(OR(I19="",I19="PENDING"),"",IF(I19="P",0,J19-G19))</f>
        <v/>
      </c>
    </row>
    <row r="20" ht="15" customHeight="1" s="91">
      <c r="A20" s="162">
        <f>IF(B20="","",ROW()-4)</f>
        <v/>
      </c>
      <c r="B20" s="163" t="n"/>
      <c r="C20" s="163" t="n"/>
      <c r="D20" s="164" t="n"/>
      <c r="E20" s="163" t="n"/>
      <c r="F20" s="163" t="n"/>
      <c r="G20" s="165" t="n"/>
      <c r="H20" s="163" t="n"/>
      <c r="I20" s="163" t="n"/>
      <c r="J20" s="166">
        <f>IF(OR(I20="",I20="PENDING"),"",IF(I20="P",G20,IF(I20="L",0,IF(D20&lt;0,G20+G20*100/ABS(D20),G20+G20*D20/100))))</f>
        <v/>
      </c>
      <c r="K20" s="167">
        <f>IF(OR(I20="",I20="PENDING"),"",IF(I20="P",0,IF(I20="L",-H20,IF(D20&lt;0,H20*100/ABS(D20),H20*D20/100))))</f>
        <v/>
      </c>
      <c r="L20" s="166">
        <f>IF(OR(I20="",I20="PENDING"),"",IF(I20="P",0,J20-G20))</f>
        <v/>
      </c>
    </row>
    <row r="21" ht="15" customHeight="1" s="91">
      <c r="A21" s="156">
        <f>IF(B21="","",ROW()-4)</f>
        <v/>
      </c>
      <c r="B21" s="157" t="n"/>
      <c r="C21" s="157" t="n"/>
      <c r="D21" s="158" t="n"/>
      <c r="E21" s="157" t="n"/>
      <c r="F21" s="157" t="n"/>
      <c r="G21" s="159" t="n"/>
      <c r="H21" s="157" t="n"/>
      <c r="I21" s="157" t="n"/>
      <c r="J21" s="160">
        <f>IF(OR(I21="",I21="PENDING"),"",IF(I21="P",G21,IF(I21="L",0,IF(D21&lt;0,G21+G21*100/ABS(D21),G21+G21*D21/100))))</f>
        <v/>
      </c>
      <c r="K21" s="161">
        <f>IF(OR(I21="",I21="PENDING"),"",IF(I21="P",0,IF(I21="L",-H21,IF(D21&lt;0,H21*100/ABS(D21),H21*D21/100))))</f>
        <v/>
      </c>
      <c r="L21" s="160">
        <f>IF(OR(I21="",I21="PENDING"),"",IF(I21="P",0,J21-G21))</f>
        <v/>
      </c>
    </row>
    <row r="22" ht="15" customHeight="1" s="91">
      <c r="A22" s="162">
        <f>IF(B22="","",ROW()-4)</f>
        <v/>
      </c>
      <c r="B22" s="163" t="n"/>
      <c r="C22" s="163" t="n"/>
      <c r="D22" s="164" t="n"/>
      <c r="E22" s="163" t="n"/>
      <c r="F22" s="163" t="n"/>
      <c r="G22" s="165" t="n"/>
      <c r="H22" s="163" t="n"/>
      <c r="I22" s="163" t="n"/>
      <c r="J22" s="166">
        <f>IF(OR(I22="",I22="PENDING"),"",IF(I22="P",G22,IF(I22="L",0,IF(D22&lt;0,G22+G22*100/ABS(D22),G22+G22*D22/100))))</f>
        <v/>
      </c>
      <c r="K22" s="167">
        <f>IF(OR(I22="",I22="PENDING"),"",IF(I22="P",0,IF(I22="L",-H22,IF(D22&lt;0,H22*100/ABS(D22),H22*D22/100))))</f>
        <v/>
      </c>
      <c r="L22" s="166">
        <f>IF(OR(I22="",I22="PENDING"),"",IF(I22="P",0,J22-G22))</f>
        <v/>
      </c>
    </row>
    <row r="23" ht="15" customHeight="1" s="91">
      <c r="A23" s="156">
        <f>IF(B23="","",ROW()-4)</f>
        <v/>
      </c>
      <c r="B23" s="157" t="n"/>
      <c r="C23" s="157" t="n"/>
      <c r="D23" s="158" t="n"/>
      <c r="E23" s="157" t="n"/>
      <c r="F23" s="157" t="n"/>
      <c r="G23" s="159" t="n"/>
      <c r="H23" s="157" t="n"/>
      <c r="I23" s="157" t="n"/>
      <c r="J23" s="160">
        <f>IF(OR(I23="",I23="PENDING"),"",IF(I23="P",G23,IF(I23="L",0,IF(D23&lt;0,G23+G23*100/ABS(D23),G23+G23*D23/100))))</f>
        <v/>
      </c>
      <c r="K23" s="161">
        <f>IF(OR(I23="",I23="PENDING"),"",IF(I23="P",0,IF(I23="L",-H23,IF(D23&lt;0,H23*100/ABS(D23),H23*D23/100))))</f>
        <v/>
      </c>
      <c r="L23" s="160">
        <f>IF(OR(I23="",I23="PENDING"),"",IF(I23="P",0,J23-G23))</f>
        <v/>
      </c>
    </row>
    <row r="24" ht="15" customHeight="1" s="91">
      <c r="A24" s="162">
        <f>IF(B24="","",ROW()-4)</f>
        <v/>
      </c>
      <c r="B24" s="163" t="n"/>
      <c r="C24" s="163" t="n"/>
      <c r="D24" s="164" t="n"/>
      <c r="E24" s="163" t="n"/>
      <c r="F24" s="163" t="n"/>
      <c r="G24" s="165" t="n"/>
      <c r="H24" s="163" t="n"/>
      <c r="I24" s="163" t="n"/>
      <c r="J24" s="166">
        <f>IF(OR(I24="",I24="PENDING"),"",IF(I24="P",G24,IF(I24="L",0,IF(D24&lt;0,G24+G24*100/ABS(D24),G24+G24*D24/100))))</f>
        <v/>
      </c>
      <c r="K24" s="167">
        <f>IF(OR(I24="",I24="PENDING"),"",IF(I24="P",0,IF(I24="L",-H24,IF(D24&lt;0,H24*100/ABS(D24),H24*D24/100))))</f>
        <v/>
      </c>
      <c r="L24" s="166">
        <f>IF(OR(I24="",I24="PENDING"),"",IF(I24="P",0,J24-G24))</f>
        <v/>
      </c>
    </row>
    <row r="25" ht="15" customHeight="1" s="91">
      <c r="A25" s="156">
        <f>IF(B25="","",ROW()-4)</f>
        <v/>
      </c>
      <c r="B25" s="157" t="n"/>
      <c r="C25" s="157" t="n"/>
      <c r="D25" s="158" t="n"/>
      <c r="E25" s="157" t="n"/>
      <c r="F25" s="157" t="n"/>
      <c r="G25" s="159" t="n"/>
      <c r="H25" s="157" t="n"/>
      <c r="I25" s="157" t="n"/>
      <c r="J25" s="160">
        <f>IF(OR(I25="",I25="PENDING"),"",IF(I25="P",G25,IF(I25="L",0,IF(D25&lt;0,G25+G25*100/ABS(D25),G25+G25*D25/100))))</f>
        <v/>
      </c>
      <c r="K25" s="161">
        <f>IF(OR(I25="",I25="PENDING"),"",IF(I25="P",0,IF(I25="L",-H25,IF(D25&lt;0,H25*100/ABS(D25),H25*D25/100))))</f>
        <v/>
      </c>
      <c r="L25" s="160">
        <f>IF(OR(I25="",I25="PENDING"),"",IF(I25="P",0,J25-G25))</f>
        <v/>
      </c>
    </row>
    <row r="26" ht="15" customHeight="1" s="91">
      <c r="A26" s="162">
        <f>IF(B26="","",ROW()-4)</f>
        <v/>
      </c>
      <c r="B26" s="163" t="n"/>
      <c r="C26" s="163" t="n"/>
      <c r="D26" s="164" t="n"/>
      <c r="E26" s="163" t="n"/>
      <c r="F26" s="163" t="n"/>
      <c r="G26" s="165" t="n"/>
      <c r="H26" s="163" t="n"/>
      <c r="I26" s="163" t="n"/>
      <c r="J26" s="166">
        <f>IF(OR(I26="",I26="PENDING"),"",IF(I26="P",G26,IF(I26="L",0,IF(D26&lt;0,G26+G26*100/ABS(D26),G26+G26*D26/100))))</f>
        <v/>
      </c>
      <c r="K26" s="167">
        <f>IF(OR(I26="",I26="PENDING"),"",IF(I26="P",0,IF(I26="L",-H26,IF(D26&lt;0,H26*100/ABS(D26),H26*D26/100))))</f>
        <v/>
      </c>
      <c r="L26" s="166">
        <f>IF(OR(I26="",I26="PENDING"),"",IF(I26="P",0,J26-G26))</f>
        <v/>
      </c>
    </row>
    <row r="27" ht="15" customHeight="1" s="91">
      <c r="A27" s="156">
        <f>IF(B27="","",ROW()-4)</f>
        <v/>
      </c>
      <c r="B27" s="157" t="n"/>
      <c r="C27" s="157" t="n"/>
      <c r="D27" s="158" t="n"/>
      <c r="E27" s="157" t="n"/>
      <c r="F27" s="157" t="n"/>
      <c r="G27" s="159" t="n"/>
      <c r="H27" s="157" t="n"/>
      <c r="I27" s="157" t="n"/>
      <c r="J27" s="160">
        <f>IF(OR(I27="",I27="PENDING"),"",IF(I27="P",G27,IF(I27="L",0,IF(D27&lt;0,G27+G27*100/ABS(D27),G27+G27*D27/100))))</f>
        <v/>
      </c>
      <c r="K27" s="161">
        <f>IF(OR(I27="",I27="PENDING"),"",IF(I27="P",0,IF(I27="L",-H27,IF(D27&lt;0,H27*100/ABS(D27),H27*D27/100))))</f>
        <v/>
      </c>
      <c r="L27" s="160">
        <f>IF(OR(I27="",I27="PENDING"),"",IF(I27="P",0,J27-G27))</f>
        <v/>
      </c>
    </row>
    <row r="28" ht="15" customHeight="1" s="91">
      <c r="A28" s="162">
        <f>IF(B28="","",ROW()-4)</f>
        <v/>
      </c>
      <c r="B28" s="163" t="n"/>
      <c r="C28" s="163" t="n"/>
      <c r="D28" s="164" t="n"/>
      <c r="E28" s="163" t="n"/>
      <c r="F28" s="163" t="n"/>
      <c r="G28" s="165" t="n"/>
      <c r="H28" s="163" t="n"/>
      <c r="I28" s="163" t="n"/>
      <c r="J28" s="166">
        <f>IF(OR(I28="",I28="PENDING"),"",IF(I28="P",G28,IF(I28="L",0,IF(D28&lt;0,G28+G28*100/ABS(D28),G28+G28*D28/100))))</f>
        <v/>
      </c>
      <c r="K28" s="167">
        <f>IF(OR(I28="",I28="PENDING"),"",IF(I28="P",0,IF(I28="L",-H28,IF(D28&lt;0,H28*100/ABS(D28),H28*D28/100))))</f>
        <v/>
      </c>
      <c r="L28" s="166">
        <f>IF(OR(I28="",I28="PENDING"),"",IF(I28="P",0,J28-G28))</f>
        <v/>
      </c>
    </row>
    <row r="29" ht="15" customHeight="1" s="91">
      <c r="A29" s="156">
        <f>IF(B29="","",ROW()-4)</f>
        <v/>
      </c>
      <c r="B29" s="157" t="n"/>
      <c r="C29" s="157" t="n"/>
      <c r="D29" s="158" t="n"/>
      <c r="E29" s="157" t="n"/>
      <c r="F29" s="157" t="n"/>
      <c r="G29" s="159" t="n"/>
      <c r="H29" s="157" t="n"/>
      <c r="I29" s="157" t="n"/>
      <c r="J29" s="160">
        <f>IF(OR(I29="",I29="PENDING"),"",IF(I29="P",G29,IF(I29="L",0,IF(D29&lt;0,G29+G29*100/ABS(D29),G29+G29*D29/100))))</f>
        <v/>
      </c>
      <c r="K29" s="161">
        <f>IF(OR(I29="",I29="PENDING"),"",IF(I29="P",0,IF(I29="L",-H29,IF(D29&lt;0,H29*100/ABS(D29),H29*D29/100))))</f>
        <v/>
      </c>
      <c r="L29" s="160">
        <f>IF(OR(I29="",I29="PENDING"),"",IF(I29="P",0,J29-G29))</f>
        <v/>
      </c>
    </row>
    <row r="30" ht="15" customHeight="1" s="91">
      <c r="A30" s="162">
        <f>IF(B30="","",ROW()-4)</f>
        <v/>
      </c>
      <c r="B30" s="163" t="n"/>
      <c r="C30" s="163" t="n"/>
      <c r="D30" s="164" t="n"/>
      <c r="E30" s="163" t="n"/>
      <c r="F30" s="163" t="n"/>
      <c r="G30" s="165" t="n"/>
      <c r="H30" s="163" t="n"/>
      <c r="I30" s="163" t="n"/>
      <c r="J30" s="166">
        <f>IF(OR(I30="",I30="PENDING"),"",IF(I30="P",G30,IF(I30="L",0,IF(D30&lt;0,G30+G30*100/ABS(D30),G30+G30*D30/100))))</f>
        <v/>
      </c>
      <c r="K30" s="167">
        <f>IF(OR(I30="",I30="PENDING"),"",IF(I30="P",0,IF(I30="L",-H30,IF(D30&lt;0,H30*100/ABS(D30),H30*D30/100))))</f>
        <v/>
      </c>
      <c r="L30" s="166">
        <f>IF(OR(I30="",I30="PENDING"),"",IF(I30="P",0,J30-G30))</f>
        <v/>
      </c>
    </row>
    <row r="31" ht="15" customHeight="1" s="91">
      <c r="A31" s="156">
        <f>IF(B31="","",ROW()-4)</f>
        <v/>
      </c>
      <c r="B31" s="157" t="n"/>
      <c r="C31" s="157" t="n"/>
      <c r="D31" s="158" t="n"/>
      <c r="E31" s="157" t="n"/>
      <c r="F31" s="157" t="n"/>
      <c r="G31" s="159" t="n"/>
      <c r="H31" s="157" t="n"/>
      <c r="I31" s="157" t="n"/>
      <c r="J31" s="160">
        <f>IF(OR(I31="",I31="PENDING"),"",IF(I31="P",G31,IF(I31="L",0,IF(D31&lt;0,G31+G31*100/ABS(D31),G31+G31*D31/100))))</f>
        <v/>
      </c>
      <c r="K31" s="161">
        <f>IF(OR(I31="",I31="PENDING"),"",IF(I31="P",0,IF(I31="L",-H31,IF(D31&lt;0,H31*100/ABS(D31),H31*D31/100))))</f>
        <v/>
      </c>
      <c r="L31" s="160">
        <f>IF(OR(I31="",I31="PENDING"),"",IF(I31="P",0,J31-G31))</f>
        <v/>
      </c>
    </row>
    <row r="32" ht="15" customHeight="1" s="91">
      <c r="A32" s="162">
        <f>IF(B32="","",ROW()-4)</f>
        <v/>
      </c>
      <c r="B32" s="163" t="n"/>
      <c r="C32" s="163" t="n"/>
      <c r="D32" s="164" t="n"/>
      <c r="E32" s="163" t="n"/>
      <c r="F32" s="163" t="n"/>
      <c r="G32" s="165" t="n"/>
      <c r="H32" s="163" t="n"/>
      <c r="I32" s="163" t="n"/>
      <c r="J32" s="166">
        <f>IF(OR(I32="",I32="PENDING"),"",IF(I32="P",G32,IF(I32="L",0,IF(D32&lt;0,G32+G32*100/ABS(D32),G32+G32*D32/100))))</f>
        <v/>
      </c>
      <c r="K32" s="167">
        <f>IF(OR(I32="",I32="PENDING"),"",IF(I32="P",0,IF(I32="L",-H32,IF(D32&lt;0,H32*100/ABS(D32),H32*D32/100))))</f>
        <v/>
      </c>
      <c r="L32" s="166">
        <f>IF(OR(I32="",I32="PENDING"),"",IF(I32="P",0,J32-G32))</f>
        <v/>
      </c>
    </row>
    <row r="33" ht="15" customHeight="1" s="91">
      <c r="A33" s="156">
        <f>IF(B33="","",ROW()-4)</f>
        <v/>
      </c>
      <c r="B33" s="157" t="n"/>
      <c r="C33" s="157" t="n"/>
      <c r="D33" s="158" t="n"/>
      <c r="E33" s="157" t="n"/>
      <c r="F33" s="157" t="n"/>
      <c r="G33" s="159" t="n"/>
      <c r="H33" s="157" t="n"/>
      <c r="I33" s="157" t="n"/>
      <c r="J33" s="160">
        <f>IF(OR(I33="",I33="PENDING"),"",IF(I33="P",G33,IF(I33="L",0,IF(D33&lt;0,G33+G33*100/ABS(D33),G33+G33*D33/100))))</f>
        <v/>
      </c>
      <c r="K33" s="161">
        <f>IF(OR(I33="",I33="PENDING"),"",IF(I33="P",0,IF(I33="L",-H33,IF(D33&lt;0,H33*100/ABS(D33),H33*D33/100))))</f>
        <v/>
      </c>
      <c r="L33" s="160">
        <f>IF(OR(I33="",I33="PENDING"),"",IF(I33="P",0,J33-G33))</f>
        <v/>
      </c>
    </row>
    <row r="34" ht="15" customHeight="1" s="91">
      <c r="A34" s="162">
        <f>IF(B34="","",ROW()-4)</f>
        <v/>
      </c>
      <c r="B34" s="163" t="n"/>
      <c r="C34" s="163" t="n"/>
      <c r="D34" s="164" t="n"/>
      <c r="E34" s="163" t="n"/>
      <c r="F34" s="163" t="n"/>
      <c r="G34" s="165" t="n"/>
      <c r="H34" s="163" t="n"/>
      <c r="I34" s="163" t="n"/>
      <c r="J34" s="166">
        <f>IF(OR(I34="",I34="PENDING"),"",IF(I34="P",G34,IF(I34="L",0,IF(D34&lt;0,G34+G34*100/ABS(D34),G34+G34*D34/100))))</f>
        <v/>
      </c>
      <c r="K34" s="167">
        <f>IF(OR(I34="",I34="PENDING"),"",IF(I34="P",0,IF(I34="L",-H34,IF(D34&lt;0,H34*100/ABS(D34),H34*D34/100))))</f>
        <v/>
      </c>
      <c r="L34" s="166">
        <f>IF(OR(I34="",I34="PENDING"),"",IF(I34="P",0,J34-G34))</f>
        <v/>
      </c>
    </row>
    <row r="35" ht="15" customHeight="1" s="91">
      <c r="A35" s="156">
        <f>IF(B35="","",ROW()-4)</f>
        <v/>
      </c>
      <c r="B35" s="157" t="n"/>
      <c r="C35" s="157" t="n"/>
      <c r="D35" s="158" t="n"/>
      <c r="E35" s="157" t="n"/>
      <c r="F35" s="157" t="n"/>
      <c r="G35" s="159" t="n"/>
      <c r="H35" s="157" t="n"/>
      <c r="I35" s="157" t="n"/>
      <c r="J35" s="160">
        <f>IF(OR(I35="",I35="PENDING"),"",IF(I35="P",G35,IF(I35="L",0,IF(D35&lt;0,G35+G35*100/ABS(D35),G35+G35*D35/100))))</f>
        <v/>
      </c>
      <c r="K35" s="161">
        <f>IF(OR(I35="",I35="PENDING"),"",IF(I35="P",0,IF(I35="L",-H35,IF(D35&lt;0,H35*100/ABS(D35),H35*D35/100))))</f>
        <v/>
      </c>
      <c r="L35" s="160">
        <f>IF(OR(I35="",I35="PENDING"),"",IF(I35="P",0,J35-G35))</f>
        <v/>
      </c>
    </row>
    <row r="36" ht="15" customHeight="1" s="91">
      <c r="A36" s="162">
        <f>IF(B36="","",ROW()-4)</f>
        <v/>
      </c>
      <c r="B36" s="163" t="n"/>
      <c r="C36" s="163" t="n"/>
      <c r="D36" s="164" t="n"/>
      <c r="E36" s="163" t="n"/>
      <c r="F36" s="163" t="n"/>
      <c r="G36" s="165" t="n"/>
      <c r="H36" s="163" t="n"/>
      <c r="I36" s="163" t="n"/>
      <c r="J36" s="166">
        <f>IF(OR(I36="",I36="PENDING"),"",IF(I36="P",G36,IF(I36="L",0,IF(D36&lt;0,G36+G36*100/ABS(D36),G36+G36*D36/100))))</f>
        <v/>
      </c>
      <c r="K36" s="167">
        <f>IF(OR(I36="",I36="PENDING"),"",IF(I36="P",0,IF(I36="L",-H36,IF(D36&lt;0,H36*100/ABS(D36),H36*D36/100))))</f>
        <v/>
      </c>
      <c r="L36" s="166">
        <f>IF(OR(I36="",I36="PENDING"),"",IF(I36="P",0,J36-G36))</f>
        <v/>
      </c>
    </row>
    <row r="37" ht="15" customHeight="1" s="91">
      <c r="A37" s="156">
        <f>IF(B37="","",ROW()-4)</f>
        <v/>
      </c>
      <c r="B37" s="157" t="n"/>
      <c r="C37" s="157" t="n"/>
      <c r="D37" s="158" t="n"/>
      <c r="E37" s="157" t="n"/>
      <c r="F37" s="157" t="n"/>
      <c r="G37" s="159" t="n"/>
      <c r="H37" s="157" t="n"/>
      <c r="I37" s="157" t="n"/>
      <c r="J37" s="160">
        <f>IF(OR(I37="",I37="PENDING"),"",IF(I37="P",G37,IF(I37="L",0,IF(D37&lt;0,G37+G37*100/ABS(D37),G37+G37*D37/100))))</f>
        <v/>
      </c>
      <c r="K37" s="161">
        <f>IF(OR(I37="",I37="PENDING"),"",IF(I37="P",0,IF(I37="L",-H37,IF(D37&lt;0,H37*100/ABS(D37),H37*D37/100))))</f>
        <v/>
      </c>
      <c r="L37" s="160">
        <f>IF(OR(I37="",I37="PENDING"),"",IF(I37="P",0,J37-G37))</f>
        <v/>
      </c>
    </row>
    <row r="38" ht="15" customHeight="1" s="91">
      <c r="A38" s="162">
        <f>IF(B38="","",ROW()-4)</f>
        <v/>
      </c>
      <c r="B38" s="163" t="n"/>
      <c r="C38" s="163" t="n"/>
      <c r="D38" s="164" t="n"/>
      <c r="E38" s="163" t="n"/>
      <c r="F38" s="163" t="n"/>
      <c r="G38" s="165" t="n"/>
      <c r="H38" s="163" t="n"/>
      <c r="I38" s="163" t="n"/>
      <c r="J38" s="166">
        <f>IF(OR(I38="",I38="PENDING"),"",IF(I38="P",G38,IF(I38="L",0,IF(D38&lt;0,G38+G38*100/ABS(D38),G38+G38*D38/100))))</f>
        <v/>
      </c>
      <c r="K38" s="167">
        <f>IF(OR(I38="",I38="PENDING"),"",IF(I38="P",0,IF(I38="L",-H38,IF(D38&lt;0,H38*100/ABS(D38),H38*D38/100))))</f>
        <v/>
      </c>
      <c r="L38" s="166">
        <f>IF(OR(I38="",I38="PENDING"),"",IF(I38="P",0,J38-G38))</f>
        <v/>
      </c>
    </row>
    <row r="39" ht="15" customHeight="1" s="91">
      <c r="A39" s="156">
        <f>IF(B39="","",ROW()-4)</f>
        <v/>
      </c>
      <c r="B39" s="157" t="n"/>
      <c r="C39" s="157" t="n"/>
      <c r="D39" s="158" t="n"/>
      <c r="E39" s="157" t="n"/>
      <c r="F39" s="157" t="n"/>
      <c r="G39" s="159" t="n"/>
      <c r="H39" s="157" t="n"/>
      <c r="I39" s="157" t="n"/>
      <c r="J39" s="160">
        <f>IF(OR(I39="",I39="PENDING"),"",IF(I39="P",G39,IF(I39="L",0,IF(D39&lt;0,G39+G39*100/ABS(D39),G39+G39*D39/100))))</f>
        <v/>
      </c>
      <c r="K39" s="161">
        <f>IF(OR(I39="",I39="PENDING"),"",IF(I39="P",0,IF(I39="L",-H39,IF(D39&lt;0,H39*100/ABS(D39),H39*D39/100))))</f>
        <v/>
      </c>
      <c r="L39" s="160">
        <f>IF(OR(I39="",I39="PENDING"),"",IF(I39="P",0,J39-G39))</f>
        <v/>
      </c>
    </row>
    <row r="40" ht="15" customHeight="1" s="91">
      <c r="A40" s="162">
        <f>IF(B40="","",ROW()-4)</f>
        <v/>
      </c>
      <c r="B40" s="163" t="n"/>
      <c r="C40" s="163" t="n"/>
      <c r="D40" s="164" t="n"/>
      <c r="E40" s="163" t="n"/>
      <c r="F40" s="163" t="n"/>
      <c r="G40" s="165" t="n"/>
      <c r="H40" s="163" t="n"/>
      <c r="I40" s="163" t="n"/>
      <c r="J40" s="166">
        <f>IF(OR(I40="",I40="PENDING"),"",IF(I40="P",G40,IF(I40="L",0,IF(D40&lt;0,G40+G40*100/ABS(D40),G40+G40*D40/100))))</f>
        <v/>
      </c>
      <c r="K40" s="167">
        <f>IF(OR(I40="",I40="PENDING"),"",IF(I40="P",0,IF(I40="L",-H40,IF(D40&lt;0,H40*100/ABS(D40),H40*D40/100))))</f>
        <v/>
      </c>
      <c r="L40" s="166">
        <f>IF(OR(I40="",I40="PENDING"),"",IF(I40="P",0,J40-G40))</f>
        <v/>
      </c>
    </row>
    <row r="41" ht="15" customHeight="1" s="91">
      <c r="A41" s="156">
        <f>IF(B41="","",ROW()-4)</f>
        <v/>
      </c>
      <c r="B41" s="157" t="n"/>
      <c r="C41" s="157" t="n"/>
      <c r="D41" s="158" t="n"/>
      <c r="E41" s="157" t="n"/>
      <c r="F41" s="157" t="n"/>
      <c r="G41" s="159" t="n"/>
      <c r="H41" s="157" t="n"/>
      <c r="I41" s="157" t="n"/>
      <c r="J41" s="160">
        <f>IF(OR(I41="",I41="PENDING"),"",IF(I41="P",G41,IF(I41="L",0,IF(D41&lt;0,G41+G41*100/ABS(D41),G41+G41*D41/100))))</f>
        <v/>
      </c>
      <c r="K41" s="161">
        <f>IF(OR(I41="",I41="PENDING"),"",IF(I41="P",0,IF(I41="L",-H41,IF(D41&lt;0,H41*100/ABS(D41),H41*D41/100))))</f>
        <v/>
      </c>
      <c r="L41" s="160">
        <f>IF(OR(I41="",I41="PENDING"),"",IF(I41="P",0,J41-G41))</f>
        <v/>
      </c>
    </row>
    <row r="42" ht="15" customHeight="1" s="91">
      <c r="A42" s="162">
        <f>IF(B42="","",ROW()-4)</f>
        <v/>
      </c>
      <c r="B42" s="163" t="n"/>
      <c r="C42" s="163" t="n"/>
      <c r="D42" s="164" t="n"/>
      <c r="E42" s="163" t="n"/>
      <c r="F42" s="163" t="n"/>
      <c r="G42" s="165" t="n"/>
      <c r="H42" s="163" t="n"/>
      <c r="I42" s="163" t="n"/>
      <c r="J42" s="166">
        <f>IF(OR(I42="",I42="PENDING"),"",IF(I42="P",G42,IF(I42="L",0,IF(D42&lt;0,G42+G42*100/ABS(D42),G42+G42*D42/100))))</f>
        <v/>
      </c>
      <c r="K42" s="167">
        <f>IF(OR(I42="",I42="PENDING"),"",IF(I42="P",0,IF(I42="L",-H42,IF(D42&lt;0,H42*100/ABS(D42),H42*D42/100))))</f>
        <v/>
      </c>
      <c r="L42" s="166">
        <f>IF(OR(I42="",I42="PENDING"),"",IF(I42="P",0,J42-G42))</f>
        <v/>
      </c>
    </row>
    <row r="43" ht="15" customHeight="1" s="91">
      <c r="A43" s="156">
        <f>IF(B43="","",ROW()-4)</f>
        <v/>
      </c>
      <c r="B43" s="157" t="n"/>
      <c r="C43" s="157" t="n"/>
      <c r="D43" s="158" t="n"/>
      <c r="E43" s="157" t="n"/>
      <c r="F43" s="157" t="n"/>
      <c r="G43" s="159" t="n"/>
      <c r="H43" s="157" t="n"/>
      <c r="I43" s="157" t="n"/>
      <c r="J43" s="160">
        <f>IF(OR(I43="",I43="PENDING"),"",IF(I43="P",G43,IF(I43="L",0,IF(D43&lt;0,G43+G43*100/ABS(D43),G43+G43*D43/100))))</f>
        <v/>
      </c>
      <c r="K43" s="161">
        <f>IF(OR(I43="",I43="PENDING"),"",IF(I43="P",0,IF(I43="L",-H43,IF(D43&lt;0,H43*100/ABS(D43),H43*D43/100))))</f>
        <v/>
      </c>
      <c r="L43" s="160">
        <f>IF(OR(I43="",I43="PENDING"),"",IF(I43="P",0,J43-G43))</f>
        <v/>
      </c>
    </row>
    <row r="44" ht="15" customHeight="1" s="91">
      <c r="A44" s="162">
        <f>IF(B44="","",ROW()-4)</f>
        <v/>
      </c>
      <c r="B44" s="163" t="n"/>
      <c r="C44" s="163" t="n"/>
      <c r="D44" s="164" t="n"/>
      <c r="E44" s="163" t="n"/>
      <c r="F44" s="163" t="n"/>
      <c r="G44" s="165" t="n"/>
      <c r="H44" s="163" t="n"/>
      <c r="I44" s="163" t="n"/>
      <c r="J44" s="166">
        <f>IF(OR(I44="",I44="PENDING"),"",IF(I44="P",G44,IF(I44="L",0,IF(D44&lt;0,G44+G44*100/ABS(D44),G44+G44*D44/100))))</f>
        <v/>
      </c>
      <c r="K44" s="167">
        <f>IF(OR(I44="",I44="PENDING"),"",IF(I44="P",0,IF(I44="L",-H44,IF(D44&lt;0,H44*100/ABS(D44),H44*D44/100))))</f>
        <v/>
      </c>
      <c r="L44" s="166">
        <f>IF(OR(I44="",I44="PENDING"),"",IF(I44="P",0,J44-G44))</f>
        <v/>
      </c>
    </row>
    <row r="45" ht="15" customHeight="1" s="91">
      <c r="A45" s="156">
        <f>IF(B45="","",ROW()-4)</f>
        <v/>
      </c>
      <c r="B45" s="157" t="n"/>
      <c r="C45" s="157" t="n"/>
      <c r="D45" s="158" t="n"/>
      <c r="E45" s="157" t="n"/>
      <c r="F45" s="157" t="n"/>
      <c r="G45" s="159" t="n"/>
      <c r="H45" s="157" t="n"/>
      <c r="I45" s="157" t="n"/>
      <c r="J45" s="160">
        <f>IF(OR(I45="",I45="PENDING"),"",IF(I45="P",G45,IF(I45="L",0,IF(D45&lt;0,G45+G45*100/ABS(D45),G45+G45*D45/100))))</f>
        <v/>
      </c>
      <c r="K45" s="161">
        <f>IF(OR(I45="",I45="PENDING"),"",IF(I45="P",0,IF(I45="L",-H45,IF(D45&lt;0,H45*100/ABS(D45),H45*D45/100))))</f>
        <v/>
      </c>
      <c r="L45" s="160">
        <f>IF(OR(I45="",I45="PENDING"),"",IF(I45="P",0,J45-G45))</f>
        <v/>
      </c>
    </row>
    <row r="46" ht="15" customHeight="1" s="91">
      <c r="A46" s="162">
        <f>IF(B46="","",ROW()-4)</f>
        <v/>
      </c>
      <c r="B46" s="163" t="n"/>
      <c r="C46" s="163" t="n"/>
      <c r="D46" s="164" t="n"/>
      <c r="E46" s="163" t="n"/>
      <c r="F46" s="163" t="n"/>
      <c r="G46" s="165" t="n"/>
      <c r="H46" s="163" t="n"/>
      <c r="I46" s="163" t="n"/>
      <c r="J46" s="166">
        <f>IF(OR(I46="",I46="PENDING"),"",IF(I46="P",G46,IF(I46="L",0,IF(D46&lt;0,G46+G46*100/ABS(D46),G46+G46*D46/100))))</f>
        <v/>
      </c>
      <c r="K46" s="167">
        <f>IF(OR(I46="",I46="PENDING"),"",IF(I46="P",0,IF(I46="L",-H46,IF(D46&lt;0,H46*100/ABS(D46),H46*D46/100))))</f>
        <v/>
      </c>
      <c r="L46" s="166">
        <f>IF(OR(I46="",I46="PENDING"),"",IF(I46="P",0,J46-G46))</f>
        <v/>
      </c>
    </row>
    <row r="47" ht="15" customHeight="1" s="91">
      <c r="A47" s="156">
        <f>IF(B47="","",ROW()-4)</f>
        <v/>
      </c>
      <c r="B47" s="157" t="n"/>
      <c r="C47" s="157" t="n"/>
      <c r="D47" s="158" t="n"/>
      <c r="E47" s="157" t="n"/>
      <c r="F47" s="157" t="n"/>
      <c r="G47" s="159" t="n"/>
      <c r="H47" s="157" t="n"/>
      <c r="I47" s="157" t="n"/>
      <c r="J47" s="160">
        <f>IF(OR(I47="",I47="PENDING"),"",IF(I47="P",G47,IF(I47="L",0,IF(D47&lt;0,G47+G47*100/ABS(D47),G47+G47*D47/100))))</f>
        <v/>
      </c>
      <c r="K47" s="161">
        <f>IF(OR(I47="",I47="PENDING"),"",IF(I47="P",0,IF(I47="L",-H47,IF(D47&lt;0,H47*100/ABS(D47),H47*D47/100))))</f>
        <v/>
      </c>
      <c r="L47" s="160">
        <f>IF(OR(I47="",I47="PENDING"),"",IF(I47="P",0,J47-G47))</f>
        <v/>
      </c>
    </row>
    <row r="48" ht="15" customHeight="1" s="91">
      <c r="A48" s="162">
        <f>IF(B48="","",ROW()-4)</f>
        <v/>
      </c>
      <c r="B48" s="163" t="n"/>
      <c r="C48" s="163" t="n"/>
      <c r="D48" s="164" t="n"/>
      <c r="E48" s="163" t="n"/>
      <c r="F48" s="163" t="n"/>
      <c r="G48" s="165" t="n"/>
      <c r="H48" s="163" t="n"/>
      <c r="I48" s="163" t="n"/>
      <c r="J48" s="166">
        <f>IF(OR(I48="",I48="PENDING"),"",IF(I48="P",G48,IF(I48="L",0,IF(D48&lt;0,G48+G48*100/ABS(D48),G48+G48*D48/100))))</f>
        <v/>
      </c>
      <c r="K48" s="167">
        <f>IF(OR(I48="",I48="PENDING"),"",IF(I48="P",0,IF(I48="L",-H48,IF(D48&lt;0,H48*100/ABS(D48),H48*D48/100))))</f>
        <v/>
      </c>
      <c r="L48" s="166">
        <f>IF(OR(I48="",I48="PENDING"),"",IF(I48="P",0,J48-G48))</f>
        <v/>
      </c>
    </row>
    <row r="49" ht="15" customHeight="1" s="91">
      <c r="A49" s="156">
        <f>IF(B49="","",ROW()-4)</f>
        <v/>
      </c>
      <c r="B49" s="157" t="n"/>
      <c r="C49" s="157" t="n"/>
      <c r="D49" s="158" t="n"/>
      <c r="E49" s="157" t="n"/>
      <c r="F49" s="157" t="n"/>
      <c r="G49" s="159" t="n"/>
      <c r="H49" s="157" t="n"/>
      <c r="I49" s="157" t="n"/>
      <c r="J49" s="160">
        <f>IF(OR(I49="",I49="PENDING"),"",IF(I49="P",G49,IF(I49="L",0,IF(D49&lt;0,G49+G49*100/ABS(D49),G49+G49*D49/100))))</f>
        <v/>
      </c>
      <c r="K49" s="161">
        <f>IF(OR(I49="",I49="PENDING"),"",IF(I49="P",0,IF(I49="L",-H49,IF(D49&lt;0,H49*100/ABS(D49),H49*D49/100))))</f>
        <v/>
      </c>
      <c r="L49" s="160">
        <f>IF(OR(I49="",I49="PENDING"),"",IF(I49="P",0,J49-G49))</f>
        <v/>
      </c>
    </row>
    <row r="50" ht="15" customHeight="1" s="91">
      <c r="A50" s="162">
        <f>IF(B50="","",ROW()-4)</f>
        <v/>
      </c>
      <c r="B50" s="163" t="n"/>
      <c r="C50" s="163" t="n"/>
      <c r="D50" s="164" t="n"/>
      <c r="E50" s="163" t="n"/>
      <c r="F50" s="163" t="n"/>
      <c r="G50" s="165" t="n"/>
      <c r="H50" s="163" t="n"/>
      <c r="I50" s="163" t="n"/>
      <c r="J50" s="166">
        <f>IF(OR(I50="",I50="PENDING"),"",IF(I50="P",G50,IF(I50="L",0,IF(D50&lt;0,G50+G50*100/ABS(D50),G50+G50*D50/100))))</f>
        <v/>
      </c>
      <c r="K50" s="167">
        <f>IF(OR(I50="",I50="PENDING"),"",IF(I50="P",0,IF(I50="L",-H50,IF(D50&lt;0,H50*100/ABS(D50),H50*D50/100))))</f>
        <v/>
      </c>
      <c r="L50" s="166">
        <f>IF(OR(I50="",I50="PENDING"),"",IF(I50="P",0,J50-G50))</f>
        <v/>
      </c>
    </row>
    <row r="51" ht="15" customHeight="1" s="91">
      <c r="A51" s="156">
        <f>IF(B51="","",ROW()-4)</f>
        <v/>
      </c>
      <c r="B51" s="157" t="n"/>
      <c r="C51" s="157" t="n"/>
      <c r="D51" s="158" t="n"/>
      <c r="E51" s="157" t="n"/>
      <c r="F51" s="157" t="n"/>
      <c r="G51" s="159" t="n"/>
      <c r="H51" s="157" t="n"/>
      <c r="I51" s="157" t="n"/>
      <c r="J51" s="160">
        <f>IF(OR(I51="",I51="PENDING"),"",IF(I51="P",G51,IF(I51="L",0,IF(D51&lt;0,G51+G51*100/ABS(D51),G51+G51*D51/100))))</f>
        <v/>
      </c>
      <c r="K51" s="161">
        <f>IF(OR(I51="",I51="PENDING"),"",IF(I51="P",0,IF(I51="L",-H51,IF(D51&lt;0,H51*100/ABS(D51),H51*D51/100))))</f>
        <v/>
      </c>
      <c r="L51" s="160">
        <f>IF(OR(I51="",I51="PENDING"),"",IF(I51="P",0,J51-G51))</f>
        <v/>
      </c>
    </row>
    <row r="52" ht="15" customHeight="1" s="91">
      <c r="A52" s="162">
        <f>IF(B52="","",ROW()-4)</f>
        <v/>
      </c>
      <c r="B52" s="163" t="n"/>
      <c r="C52" s="163" t="n"/>
      <c r="D52" s="164" t="n"/>
      <c r="E52" s="163" t="n"/>
      <c r="F52" s="163" t="n"/>
      <c r="G52" s="165" t="n"/>
      <c r="H52" s="163" t="n"/>
      <c r="I52" s="163" t="n"/>
      <c r="J52" s="166">
        <f>IF(OR(I52="",I52="PENDING"),"",IF(I52="P",G52,IF(I52="L",0,IF(D52&lt;0,G52+G52*100/ABS(D52),G52+G52*D52/100))))</f>
        <v/>
      </c>
      <c r="K52" s="167">
        <f>IF(OR(I52="",I52="PENDING"),"",IF(I52="P",0,IF(I52="L",-H52,IF(D52&lt;0,H52*100/ABS(D52),H52*D52/100))))</f>
        <v/>
      </c>
      <c r="L52" s="166">
        <f>IF(OR(I52="",I52="PENDING"),"",IF(I52="P",0,J52-G52))</f>
        <v/>
      </c>
    </row>
    <row r="53" ht="15" customHeight="1" s="91">
      <c r="A53" s="156">
        <f>IF(B53="","",ROW()-4)</f>
        <v/>
      </c>
      <c r="B53" s="157" t="n"/>
      <c r="C53" s="157" t="n"/>
      <c r="D53" s="158" t="n"/>
      <c r="E53" s="157" t="n"/>
      <c r="F53" s="157" t="n"/>
      <c r="G53" s="159" t="n"/>
      <c r="H53" s="157" t="n"/>
      <c r="I53" s="157" t="n"/>
      <c r="J53" s="160">
        <f>IF(OR(I53="",I53="PENDING"),"",IF(I53="P",G53,IF(I53="L",0,IF(D53&lt;0,G53+G53*100/ABS(D53),G53+G53*D53/100))))</f>
        <v/>
      </c>
      <c r="K53" s="161">
        <f>IF(OR(I53="",I53="PENDING"),"",IF(I53="P",0,IF(I53="L",-H53,IF(D53&lt;0,H53*100/ABS(D53),H53*D53/100))))</f>
        <v/>
      </c>
      <c r="L53" s="160">
        <f>IF(OR(I53="",I53="PENDING"),"",IF(I53="P",0,J53-G53))</f>
        <v/>
      </c>
    </row>
    <row r="54" ht="15" customHeight="1" s="91">
      <c r="A54" s="162">
        <f>IF(B54="","",ROW()-4)</f>
        <v/>
      </c>
      <c r="B54" s="163" t="n"/>
      <c r="C54" s="163" t="n"/>
      <c r="D54" s="164" t="n"/>
      <c r="E54" s="163" t="n"/>
      <c r="F54" s="163" t="n"/>
      <c r="G54" s="165" t="n"/>
      <c r="H54" s="163" t="n"/>
      <c r="I54" s="163" t="n"/>
      <c r="J54" s="166">
        <f>IF(OR(I54="",I54="PENDING"),"",IF(I54="P",G54,IF(I54="L",0,IF(D54&lt;0,G54+G54*100/ABS(D54),G54+G54*D54/100))))</f>
        <v/>
      </c>
      <c r="K54" s="167">
        <f>IF(OR(I54="",I54="PENDING"),"",IF(I54="P",0,IF(I54="L",-H54,IF(D54&lt;0,H54*100/ABS(D54),H54*D54/100))))</f>
        <v/>
      </c>
      <c r="L54" s="166">
        <f>IF(OR(I54="",I54="PENDING"),"",IF(I54="P",0,J54-G54))</f>
        <v/>
      </c>
    </row>
  </sheetData>
  <autoFilter ref="A4:L54"/>
  <mergeCells count="2">
    <mergeCell ref="A2:L2"/>
    <mergeCell ref="A1:L1"/>
  </mergeCells>
  <conditionalFormatting sqref="I5:I54">
    <cfRule type="cellIs" rank="0" priority="2" equalAverage="0" operator="equal" aboveAverage="0" dxfId="17" text="" percent="0" bottom="0">
      <formula>"W"</formula>
    </cfRule>
    <cfRule type="cellIs" rank="0" priority="3" equalAverage="0" operator="equal" aboveAverage="0" dxfId="18" text="" percent="0" bottom="0">
      <formula>"L"</formula>
    </cfRule>
    <cfRule type="cellIs" rank="0" priority="4" equalAverage="0" operator="equal" aboveAverage="0" dxfId="19" text="" percent="0" bottom="0">
      <formula>"PENDING"</formula>
    </cfRule>
  </conditionalFormatting>
  <printOptions horizontalCentered="0" verticalCentered="0" headings="0" gridLines="0" gridLinesSet="1"/>
  <pageMargins left="0.75" right="0.75" top="1" bottom="1" header="0.511811023622047" footer="0.5"/>
  <pageSetup orientation="landscape" paperSize="3" scale="100" fitToHeight="1" fitToWidth="1" pageOrder="downThenOver" blackAndWhite="0" draft="0" horizontalDpi="300" verticalDpi="300" copies="1"/>
  <headerFooter differentOddEven="0" differentFirst="0">
    <oddHeader/>
    <oddFooter>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90" min="1" max="1"/>
    <col width="16" customWidth="1" style="90" min="2" max="2"/>
    <col width="55" customWidth="1" style="90" min="3" max="3"/>
    <col width="20" customWidth="1" style="90" min="4" max="4"/>
  </cols>
  <sheetData>
    <row r="1" ht="25.5" customHeight="1" s="91">
      <c r="A1" s="154" t="inlineStr">
        <is>
          <t>SETTINGS  •  FRD</t>
        </is>
      </c>
    </row>
    <row r="3" ht="17.25" customHeight="1" s="91">
      <c r="A3" s="168" t="inlineStr">
        <is>
          <t>Unit size ($)</t>
        </is>
      </c>
      <c r="B3" s="169" t="n">
        <v>25</v>
      </c>
      <c r="C3" s="170" t="inlineStr">
        <is>
          <t>Paper unit for published leans. Not a real bankroll.</t>
        </is>
      </c>
    </row>
    <row r="5" ht="15" customHeight="1" s="91">
      <c r="A5" s="90" t="inlineStr">
        <is>
          <t>Season</t>
        </is>
      </c>
      <c r="B5" s="171" t="inlineStr">
        <is>
          <t>2026 NFL + CFB</t>
        </is>
      </c>
    </row>
    <row r="6" ht="15" customHeight="1" s="91">
      <c r="A6" s="90" t="inlineStr">
        <is>
          <t>Bankroll start ($)</t>
        </is>
      </c>
      <c r="B6" s="172" t="n">
        <v>0</v>
      </c>
      <c r="C6" s="90" t="inlineStr">
        <is>
          <t>Optional. Leave 0 if you only track units.</t>
        </is>
      </c>
    </row>
    <row r="7" ht="15" customHeight="1" s="91">
      <c r="A7" s="90" t="inlineStr">
        <is>
          <t>Default book</t>
        </is>
      </c>
      <c r="B7" s="173" t="inlineStr">
        <is>
          <t>FRD</t>
        </is>
      </c>
    </row>
    <row r="9" ht="15" customHeight="1" s="91">
      <c r="A9" s="168" t="inlineStr">
        <is>
          <t>Status codes</t>
        </is>
      </c>
    </row>
    <row r="10" ht="15" customHeight="1" s="91">
      <c r="A10" s="174" t="inlineStr">
        <is>
          <t>W = win   L = loss   P = push   PENDING = not graded</t>
        </is>
      </c>
    </row>
    <row r="12" ht="15" customHeight="1" s="91">
      <c r="A12" s="168" t="inlineStr">
        <is>
          <t>Type list (must match Dashboard rollup)</t>
        </is>
      </c>
    </row>
    <row r="13" ht="15" customHeight="1" s="91">
      <c r="A13" s="175" t="inlineStr">
        <is>
          <t>Spread</t>
        </is>
      </c>
    </row>
    <row r="14" ht="15" customHeight="1" s="91">
      <c r="A14" s="175" t="inlineStr">
        <is>
          <t>Moneyline</t>
        </is>
      </c>
    </row>
    <row r="15" ht="15" customHeight="1" s="91">
      <c r="A15" s="175" t="inlineStr">
        <is>
          <t>Total</t>
        </is>
      </c>
    </row>
    <row r="16" ht="15" customHeight="1" s="91">
      <c r="A16" s="175" t="inlineStr">
        <is>
          <t>Player Prop</t>
        </is>
      </c>
    </row>
    <row r="17" ht="15" customHeight="1" s="91">
      <c r="A17" s="175" t="inlineStr">
        <is>
          <t>Team Prop</t>
        </is>
      </c>
    </row>
    <row r="18" ht="15" customHeight="1" s="91">
      <c r="A18" s="175" t="inlineStr">
        <is>
          <t>Parlay</t>
        </is>
      </c>
    </row>
    <row r="19" ht="15" customHeight="1" s="91">
      <c r="A19" s="175" t="inlineStr">
        <is>
          <t>Teaser</t>
        </is>
      </c>
    </row>
    <row r="20" ht="15" customHeight="1" s="91">
      <c r="A20" s="175" t="inlineStr">
        <is>
          <t>Future</t>
        </is>
      </c>
    </row>
    <row r="21" ht="15" customHeight="1" s="91">
      <c r="A21" s="175" t="inlineStr">
        <is>
          <t>Other</t>
        </is>
      </c>
    </row>
    <row r="22" ht="15" customHeight="1" s="91">
      <c r="A22" s="90" t="inlineStr">
        <is>
          <t>Flyer tab</t>
        </is>
      </c>
      <c r="B22" s="90" t="inlineStr">
        <is>
          <t>Excluded from Dashboard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7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90" min="1" max="1"/>
    <col width="10" customWidth="1" style="90" min="2" max="2"/>
    <col width="90" customWidth="1" style="90" min="3" max="3"/>
  </cols>
  <sheetData>
    <row r="1" ht="25.5" customHeight="1" s="91">
      <c r="A1" s="154" t="inlineStr">
        <is>
          <t>NOTES  •  FRD</t>
        </is>
      </c>
    </row>
    <row r="3" ht="15" customHeight="1" s="91">
      <c r="A3" s="176" t="inlineStr">
        <is>
          <t>Date</t>
        </is>
      </c>
      <c r="B3" s="176" t="inlineStr">
        <is>
          <t>Week</t>
        </is>
      </c>
      <c r="C3" s="176" t="inlineStr">
        <is>
          <t>Note</t>
        </is>
      </c>
      <c r="D3" s="95" t="n"/>
      <c r="E3" s="95" t="n"/>
      <c r="F3" s="96" t="n"/>
    </row>
    <row r="4" ht="15" customHeight="1" s="91">
      <c r="A4" s="177" t="inlineStr">
        <is>
          <t>Template</t>
        </is>
      </c>
      <c r="B4" s="177" t="n"/>
      <c r="C4" s="177" t="inlineStr">
        <is>
          <t>Empty on purpose. Fill as you play.</t>
        </is>
      </c>
      <c r="D4" s="95" t="n"/>
      <c r="E4" s="95" t="n"/>
      <c r="F4" s="96" t="n"/>
    </row>
    <row r="5" ht="15" customHeight="1" s="91">
      <c r="A5" s="178" t="n"/>
      <c r="B5" s="178" t="n"/>
      <c r="C5" s="178" t="n"/>
      <c r="D5" s="95" t="n"/>
      <c r="E5" s="95" t="n"/>
      <c r="F5" s="96" t="n"/>
    </row>
    <row r="6" ht="15" customHeight="1" s="91">
      <c r="A6" s="177" t="n"/>
      <c r="B6" s="177" t="n"/>
      <c r="C6" s="177" t="n"/>
      <c r="D6" s="95" t="n"/>
      <c r="E6" s="95" t="n"/>
      <c r="F6" s="96" t="n"/>
    </row>
    <row r="7" ht="15" customHeight="1" s="91">
      <c r="A7" s="178" t="n"/>
      <c r="B7" s="178" t="n"/>
      <c r="C7" s="178" t="n"/>
      <c r="D7" s="95" t="n"/>
      <c r="E7" s="95" t="n"/>
      <c r="F7" s="96" t="n"/>
    </row>
    <row r="8" ht="15" customHeight="1" s="91">
      <c r="A8" s="177" t="n"/>
      <c r="B8" s="177" t="n"/>
      <c r="C8" s="177" t="n"/>
      <c r="D8" s="95" t="n"/>
      <c r="E8" s="95" t="n"/>
      <c r="F8" s="96" t="n"/>
    </row>
    <row r="9" ht="15" customHeight="1" s="91">
      <c r="A9" s="178" t="n"/>
      <c r="B9" s="178" t="n"/>
      <c r="C9" s="178" t="n"/>
      <c r="D9" s="95" t="n"/>
      <c r="E9" s="95" t="n"/>
      <c r="F9" s="96" t="n"/>
    </row>
    <row r="10" ht="15" customHeight="1" s="91">
      <c r="A10" s="177" t="n"/>
      <c r="B10" s="177" t="n"/>
      <c r="C10" s="177" t="n"/>
      <c r="D10" s="95" t="n"/>
      <c r="E10" s="95" t="n"/>
      <c r="F10" s="96" t="n"/>
    </row>
    <row r="11" ht="15" customHeight="1" s="91">
      <c r="A11" s="178" t="n"/>
      <c r="B11" s="178" t="n"/>
      <c r="C11" s="178" t="n"/>
      <c r="D11" s="95" t="n"/>
      <c r="E11" s="95" t="n"/>
      <c r="F11" s="96" t="n"/>
    </row>
    <row r="12" ht="15" customHeight="1" s="91">
      <c r="A12" s="177" t="n"/>
      <c r="B12" s="177" t="n"/>
      <c r="C12" s="177" t="n"/>
      <c r="D12" s="95" t="n"/>
      <c r="E12" s="95" t="n"/>
      <c r="F12" s="96" t="n"/>
    </row>
    <row r="13" ht="15" customHeight="1" s="91">
      <c r="A13" s="178" t="n"/>
      <c r="B13" s="178" t="n"/>
      <c r="C13" s="178" t="n"/>
      <c r="D13" s="95" t="n"/>
      <c r="E13" s="95" t="n"/>
      <c r="F13" s="96" t="n"/>
    </row>
    <row r="14" ht="15" customHeight="1" s="91">
      <c r="A14" s="177" t="n"/>
      <c r="B14" s="177" t="n"/>
      <c r="C14" s="177" t="n"/>
      <c r="D14" s="95" t="n"/>
      <c r="E14" s="95" t="n"/>
      <c r="F14" s="96" t="n"/>
    </row>
    <row r="15" ht="15" customHeight="1" s="91">
      <c r="A15" s="178" t="n"/>
      <c r="B15" s="178" t="n"/>
      <c r="C15" s="178" t="n"/>
      <c r="D15" s="95" t="n"/>
      <c r="E15" s="95" t="n"/>
      <c r="F15" s="96" t="n"/>
    </row>
    <row r="16" ht="15" customHeight="1" s="91">
      <c r="A16" s="177" t="n"/>
      <c r="B16" s="177" t="n"/>
      <c r="C16" s="177" t="n"/>
      <c r="D16" s="95" t="n"/>
      <c r="E16" s="95" t="n"/>
      <c r="F16" s="96" t="n"/>
    </row>
    <row r="17" ht="15" customHeight="1" s="91">
      <c r="A17" s="178" t="n"/>
      <c r="B17" s="178" t="n"/>
      <c r="C17" s="178" t="n"/>
      <c r="D17" s="95" t="n"/>
      <c r="E17" s="95" t="n"/>
      <c r="F17" s="96" t="n"/>
    </row>
    <row r="18" ht="15" customHeight="1" s="91">
      <c r="A18" s="177" t="n"/>
      <c r="B18" s="177" t="n"/>
      <c r="C18" s="177" t="n"/>
      <c r="D18" s="95" t="n"/>
      <c r="E18" s="95" t="n"/>
      <c r="F18" s="96" t="n"/>
    </row>
    <row r="19" ht="15" customHeight="1" s="91">
      <c r="A19" s="178" t="n"/>
      <c r="B19" s="178" t="n"/>
      <c r="C19" s="178" t="n"/>
      <c r="D19" s="95" t="n"/>
      <c r="E19" s="95" t="n"/>
      <c r="F19" s="96" t="n"/>
    </row>
    <row r="20" ht="15" customHeight="1" s="91">
      <c r="A20" s="177" t="n"/>
      <c r="B20" s="177" t="n"/>
      <c r="C20" s="177" t="n"/>
      <c r="D20" s="95" t="n"/>
      <c r="E20" s="95" t="n"/>
      <c r="F20" s="96" t="n"/>
    </row>
    <row r="21" ht="15" customHeight="1" s="91">
      <c r="A21" s="178" t="n"/>
      <c r="B21" s="178" t="n"/>
      <c r="C21" s="178" t="n"/>
      <c r="D21" s="95" t="n"/>
      <c r="E21" s="95" t="n"/>
      <c r="F21" s="96" t="n"/>
    </row>
    <row r="22" ht="15" customHeight="1" s="91">
      <c r="A22" s="177" t="n"/>
      <c r="B22" s="177" t="n"/>
      <c r="C22" s="177" t="n"/>
      <c r="D22" s="95" t="n"/>
      <c r="E22" s="95" t="n"/>
      <c r="F22" s="96" t="n"/>
    </row>
    <row r="23" ht="15" customHeight="1" s="91">
      <c r="A23" s="178" t="n"/>
      <c r="B23" s="178" t="n"/>
      <c r="C23" s="178" t="n"/>
      <c r="D23" s="95" t="n"/>
      <c r="E23" s="95" t="n"/>
      <c r="F23" s="96" t="n"/>
    </row>
    <row r="24" ht="15" customHeight="1" s="91">
      <c r="A24" s="177" t="n"/>
      <c r="B24" s="177" t="n"/>
      <c r="C24" s="177" t="n"/>
      <c r="D24" s="95" t="n"/>
      <c r="E24" s="95" t="n"/>
      <c r="F24" s="96" t="n"/>
    </row>
    <row r="25" ht="15" customHeight="1" s="91">
      <c r="A25" s="178" t="n"/>
      <c r="B25" s="178" t="n"/>
      <c r="C25" s="178" t="n"/>
      <c r="D25" s="95" t="n"/>
      <c r="E25" s="95" t="n"/>
      <c r="F25" s="96" t="n"/>
    </row>
    <row r="26" ht="15" customHeight="1" s="91">
      <c r="A26" s="177" t="n"/>
      <c r="B26" s="177" t="n"/>
      <c r="C26" s="177" t="n"/>
      <c r="D26" s="95" t="n"/>
      <c r="E26" s="95" t="n"/>
      <c r="F26" s="96" t="n"/>
    </row>
    <row r="27" ht="15" customHeight="1" s="91">
      <c r="A27" s="178" t="n"/>
      <c r="B27" s="178" t="n"/>
      <c r="C27" s="178" t="n"/>
      <c r="D27" s="95" t="n"/>
      <c r="E27" s="95" t="n"/>
      <c r="F27" s="96" t="n"/>
    </row>
    <row r="28" ht="15" customHeight="1" s="91">
      <c r="A28" s="177" t="n"/>
      <c r="B28" s="177" t="n"/>
      <c r="C28" s="177" t="n"/>
      <c r="D28" s="95" t="n"/>
      <c r="E28" s="95" t="n"/>
      <c r="F28" s="96" t="n"/>
    </row>
    <row r="29" ht="15" customHeight="1" s="91">
      <c r="A29" s="178" t="n"/>
      <c r="B29" s="178" t="n"/>
      <c r="C29" s="178" t="n"/>
      <c r="D29" s="95" t="n"/>
      <c r="E29" s="95" t="n"/>
      <c r="F29" s="96" t="n"/>
    </row>
    <row r="30" ht="15" customHeight="1" s="91">
      <c r="A30" s="177" t="n"/>
      <c r="B30" s="177" t="n"/>
      <c r="C30" s="177" t="n"/>
      <c r="D30" s="95" t="n"/>
      <c r="E30" s="95" t="n"/>
      <c r="F30" s="96" t="n"/>
    </row>
    <row r="31" ht="15" customHeight="1" s="91">
      <c r="A31" s="178" t="n"/>
      <c r="B31" s="178" t="n"/>
      <c r="C31" s="178" t="n"/>
      <c r="D31" s="95" t="n"/>
      <c r="E31" s="95" t="n"/>
      <c r="F31" s="96" t="n"/>
    </row>
    <row r="32" ht="15" customHeight="1" s="91">
      <c r="A32" s="177" t="n"/>
      <c r="B32" s="177" t="n"/>
      <c r="C32" s="177" t="n"/>
      <c r="D32" s="95" t="n"/>
      <c r="E32" s="95" t="n"/>
      <c r="F32" s="96" t="n"/>
    </row>
    <row r="33" ht="15" customHeight="1" s="91">
      <c r="A33" s="178" t="n"/>
      <c r="B33" s="178" t="n"/>
      <c r="C33" s="178" t="n"/>
      <c r="D33" s="95" t="n"/>
      <c r="E33" s="95" t="n"/>
      <c r="F33" s="96" t="n"/>
    </row>
    <row r="34" ht="15" customHeight="1" s="91">
      <c r="A34" s="177" t="n"/>
      <c r="B34" s="177" t="n"/>
      <c r="C34" s="177" t="n"/>
      <c r="D34" s="95" t="n"/>
      <c r="E34" s="95" t="n"/>
      <c r="F34" s="96" t="n"/>
    </row>
    <row r="35" ht="15" customHeight="1" s="91">
      <c r="A35" s="178" t="n"/>
      <c r="B35" s="178" t="n"/>
      <c r="C35" s="178" t="n"/>
      <c r="D35" s="95" t="n"/>
      <c r="E35" s="95" t="n"/>
      <c r="F35" s="96" t="n"/>
    </row>
    <row r="36" ht="15" customHeight="1" s="91">
      <c r="A36" s="177" t="n"/>
      <c r="B36" s="177" t="n"/>
      <c r="C36" s="177" t="n"/>
      <c r="D36" s="95" t="n"/>
      <c r="E36" s="95" t="n"/>
      <c r="F36" s="96" t="n"/>
    </row>
    <row r="37" ht="15" customHeight="1" s="91">
      <c r="A37" s="178" t="n"/>
      <c r="B37" s="178" t="n"/>
      <c r="C37" s="178" t="n"/>
      <c r="D37" s="95" t="n"/>
      <c r="E37" s="95" t="n"/>
      <c r="F37" s="96" t="n"/>
    </row>
    <row r="38" ht="15" customHeight="1" s="91">
      <c r="A38" s="177" t="n"/>
      <c r="B38" s="177" t="n"/>
      <c r="C38" s="177" t="n"/>
      <c r="D38" s="95" t="n"/>
      <c r="E38" s="95" t="n"/>
      <c r="F38" s="96" t="n"/>
    </row>
    <row r="39" ht="15" customHeight="1" s="91">
      <c r="A39" s="178" t="n"/>
      <c r="B39" s="178" t="n"/>
      <c r="C39" s="178" t="n"/>
      <c r="D39" s="95" t="n"/>
      <c r="E39" s="95" t="n"/>
      <c r="F39" s="96" t="n"/>
    </row>
    <row r="40" ht="15" customHeight="1" s="91">
      <c r="A40" s="177" t="n"/>
      <c r="B40" s="177" t="n"/>
      <c r="C40" s="177" t="n"/>
      <c r="D40" s="95" t="n"/>
      <c r="E40" s="95" t="n"/>
      <c r="F40" s="96" t="n"/>
    </row>
    <row r="41" ht="15" customHeight="1" s="91">
      <c r="A41" s="178" t="n"/>
      <c r="B41" s="178" t="n"/>
      <c r="C41" s="178" t="n"/>
      <c r="D41" s="95" t="n"/>
      <c r="E41" s="95" t="n"/>
      <c r="F41" s="96" t="n"/>
    </row>
    <row r="42" ht="15" customHeight="1" s="91">
      <c r="A42" s="177" t="n"/>
      <c r="B42" s="177" t="n"/>
      <c r="C42" s="177" t="n"/>
      <c r="D42" s="95" t="n"/>
      <c r="E42" s="95" t="n"/>
      <c r="F42" s="96" t="n"/>
    </row>
    <row r="43" ht="15" customHeight="1" s="91">
      <c r="A43" s="178" t="n"/>
      <c r="B43" s="178" t="n"/>
      <c r="C43" s="178" t="n"/>
      <c r="D43" s="95" t="n"/>
      <c r="E43" s="95" t="n"/>
      <c r="F43" s="96" t="n"/>
    </row>
    <row r="44" ht="15" customHeight="1" s="91">
      <c r="A44" s="177" t="n"/>
      <c r="B44" s="177" t="n"/>
      <c r="C44" s="177" t="n"/>
      <c r="D44" s="95" t="n"/>
      <c r="E44" s="95" t="n"/>
      <c r="F44" s="96" t="n"/>
    </row>
    <row r="45" ht="15" customHeight="1" s="91">
      <c r="A45" s="178" t="n"/>
      <c r="B45" s="178" t="n"/>
      <c r="C45" s="178" t="n"/>
      <c r="D45" s="95" t="n"/>
      <c r="E45" s="95" t="n"/>
      <c r="F45" s="96" t="n"/>
    </row>
    <row r="46" ht="15" customHeight="1" s="91">
      <c r="A46" s="177" t="n"/>
      <c r="B46" s="177" t="n"/>
      <c r="C46" s="177" t="n"/>
      <c r="D46" s="95" t="n"/>
      <c r="E46" s="95" t="n"/>
      <c r="F46" s="96" t="n"/>
    </row>
    <row r="47" ht="15" customHeight="1" s="91">
      <c r="A47" s="178" t="n"/>
      <c r="B47" s="178" t="n"/>
      <c r="C47" s="178" t="n"/>
      <c r="D47" s="95" t="n"/>
      <c r="E47" s="95" t="n"/>
      <c r="F47" s="96" t="n"/>
    </row>
    <row r="48" ht="15" customHeight="1" s="91">
      <c r="A48" s="177" t="n"/>
      <c r="B48" s="177" t="n"/>
      <c r="C48" s="177" t="n"/>
      <c r="D48" s="95" t="n"/>
      <c r="E48" s="95" t="n"/>
      <c r="F48" s="96" t="n"/>
    </row>
    <row r="49" ht="15" customHeight="1" s="91">
      <c r="A49" s="178" t="n"/>
      <c r="B49" s="178" t="n"/>
      <c r="C49" s="178" t="n"/>
      <c r="D49" s="95" t="n"/>
      <c r="E49" s="95" t="n"/>
      <c r="F49" s="96" t="n"/>
    </row>
    <row r="50" ht="15" customHeight="1" s="91">
      <c r="A50" s="177" t="n"/>
      <c r="B50" s="177" t="n"/>
      <c r="C50" s="177" t="n"/>
      <c r="D50" s="95" t="n"/>
      <c r="E50" s="95" t="n"/>
      <c r="F50" s="96" t="n"/>
    </row>
    <row r="51" ht="15" customHeight="1" s="91">
      <c r="A51" s="178" t="n"/>
      <c r="B51" s="178" t="n"/>
      <c r="C51" s="178" t="n"/>
      <c r="D51" s="95" t="n"/>
      <c r="E51" s="95" t="n"/>
      <c r="F51" s="96" t="n"/>
    </row>
    <row r="52" ht="15" customHeight="1" s="91">
      <c r="A52" s="177" t="n"/>
      <c r="B52" s="177" t="n"/>
      <c r="C52" s="177" t="n"/>
      <c r="D52" s="95" t="n"/>
      <c r="E52" s="95" t="n"/>
      <c r="F52" s="96" t="n"/>
    </row>
    <row r="53" ht="15" customHeight="1" s="91">
      <c r="A53" s="178" t="n"/>
      <c r="B53" s="178" t="n"/>
      <c r="C53" s="178" t="n"/>
      <c r="D53" s="95" t="n"/>
      <c r="E53" s="95" t="n"/>
      <c r="F53" s="96" t="n"/>
    </row>
    <row r="54" ht="15" customHeight="1" s="91">
      <c r="A54" s="177" t="n"/>
      <c r="B54" s="177" t="n"/>
      <c r="C54" s="177" t="n"/>
      <c r="D54" s="95" t="n"/>
      <c r="E54" s="95" t="n"/>
      <c r="F54" s="96" t="n"/>
    </row>
    <row r="55" ht="15" customHeight="1" s="91">
      <c r="A55" s="178" t="n"/>
      <c r="B55" s="178" t="n"/>
      <c r="C55" s="178" t="n"/>
      <c r="D55" s="95" t="n"/>
      <c r="E55" s="95" t="n"/>
      <c r="F55" s="96" t="n"/>
    </row>
    <row r="56" ht="15" customHeight="1" s="91">
      <c r="A56" s="177" t="n"/>
      <c r="B56" s="177" t="n"/>
      <c r="C56" s="177" t="n"/>
      <c r="D56" s="95" t="n"/>
      <c r="E56" s="95" t="n"/>
      <c r="F56" s="96" t="n"/>
    </row>
    <row r="57" ht="15" customHeight="1" s="91">
      <c r="A57" s="178" t="n"/>
      <c r="B57" s="178" t="n"/>
      <c r="C57" s="178" t="n"/>
      <c r="D57" s="95" t="n"/>
      <c r="E57" s="95" t="n"/>
      <c r="F57" s="96" t="n"/>
    </row>
    <row r="58" ht="15" customHeight="1" s="91">
      <c r="A58" s="177" t="n"/>
      <c r="B58" s="177" t="n"/>
      <c r="C58" s="177" t="n"/>
      <c r="D58" s="95" t="n"/>
      <c r="E58" s="95" t="n"/>
      <c r="F58" s="96" t="n"/>
    </row>
    <row r="59" ht="15" customHeight="1" s="91">
      <c r="A59" s="178" t="n"/>
      <c r="B59" s="178" t="n"/>
      <c r="C59" s="178" t="n"/>
      <c r="D59" s="95" t="n"/>
      <c r="E59" s="95" t="n"/>
      <c r="F59" s="96" t="n"/>
    </row>
    <row r="60" ht="15" customHeight="1" s="91">
      <c r="A60" s="177" t="n"/>
      <c r="B60" s="177" t="n"/>
      <c r="C60" s="177" t="n"/>
      <c r="D60" s="95" t="n"/>
      <c r="E60" s="95" t="n"/>
      <c r="F60" s="96" t="n"/>
    </row>
    <row r="61" ht="15" customHeight="1" s="91">
      <c r="A61" s="178" t="n"/>
      <c r="B61" s="178" t="n"/>
      <c r="C61" s="178" t="n"/>
      <c r="D61" s="95" t="n"/>
      <c r="E61" s="95" t="n"/>
      <c r="F61" s="96" t="n"/>
    </row>
    <row r="62" ht="15" customHeight="1" s="91">
      <c r="A62" s="177" t="n"/>
      <c r="B62" s="177" t="n"/>
      <c r="C62" s="177" t="n"/>
      <c r="D62" s="95" t="n"/>
      <c r="E62" s="95" t="n"/>
      <c r="F62" s="96" t="n"/>
    </row>
    <row r="63" ht="15" customHeight="1" s="91">
      <c r="A63" s="178" t="n"/>
      <c r="B63" s="178" t="n"/>
      <c r="C63" s="178" t="n"/>
      <c r="D63" s="95" t="n"/>
      <c r="E63" s="95" t="n"/>
      <c r="F63" s="96" t="n"/>
    </row>
    <row r="64" ht="15" customHeight="1" s="91">
      <c r="A64" s="177" t="n"/>
      <c r="B64" s="177" t="n"/>
      <c r="C64" s="177" t="n"/>
      <c r="D64" s="95" t="n"/>
      <c r="E64" s="95" t="n"/>
      <c r="F64" s="96" t="n"/>
    </row>
    <row r="65" ht="15" customHeight="1" s="91">
      <c r="A65" s="178" t="n"/>
      <c r="B65" s="178" t="n"/>
      <c r="C65" s="178" t="n"/>
      <c r="D65" s="95" t="n"/>
      <c r="E65" s="95" t="n"/>
      <c r="F65" s="96" t="n"/>
    </row>
    <row r="66" ht="15" customHeight="1" s="91">
      <c r="A66" s="177" t="n"/>
      <c r="B66" s="177" t="n"/>
      <c r="C66" s="177" t="n"/>
      <c r="D66" s="95" t="n"/>
      <c r="E66" s="95" t="n"/>
      <c r="F66" s="96" t="n"/>
    </row>
    <row r="67" ht="15" customHeight="1" s="91">
      <c r="A67" s="178" t="n"/>
      <c r="B67" s="178" t="n"/>
      <c r="C67" s="178" t="n"/>
      <c r="D67" s="95" t="n"/>
      <c r="E67" s="95" t="n"/>
      <c r="F67" s="96" t="n"/>
    </row>
    <row r="68" ht="15" customHeight="1" s="91">
      <c r="A68" s="177" t="n"/>
      <c r="B68" s="177" t="n"/>
      <c r="C68" s="177" t="n"/>
      <c r="D68" s="95" t="n"/>
      <c r="E68" s="95" t="n"/>
      <c r="F68" s="96" t="n"/>
    </row>
    <row r="69" ht="15" customHeight="1" s="91">
      <c r="A69" s="178" t="n"/>
      <c r="B69" s="178" t="n"/>
      <c r="C69" s="178" t="n"/>
      <c r="D69" s="95" t="n"/>
      <c r="E69" s="95" t="n"/>
      <c r="F69" s="96" t="n"/>
    </row>
    <row r="70" ht="15" customHeight="1" s="91">
      <c r="A70" s="177" t="n"/>
      <c r="B70" s="177" t="n"/>
      <c r="C70" s="177" t="n"/>
      <c r="D70" s="95" t="n"/>
      <c r="E70" s="95" t="n"/>
      <c r="F70" s="96" t="n"/>
    </row>
    <row r="71" ht="15" customHeight="1" s="91">
      <c r="A71" s="178" t="n"/>
      <c r="B71" s="178" t="n"/>
      <c r="C71" s="178" t="n"/>
      <c r="D71" s="95" t="n"/>
      <c r="E71" s="95" t="n"/>
      <c r="F71" s="96" t="n"/>
    </row>
    <row r="72" ht="15" customHeight="1" s="91">
      <c r="A72" s="177" t="n"/>
      <c r="B72" s="177" t="n"/>
      <c r="C72" s="177" t="n"/>
      <c r="D72" s="95" t="n"/>
      <c r="E72" s="95" t="n"/>
      <c r="F72" s="96" t="n"/>
    </row>
    <row r="73" ht="15" customHeight="1" s="91">
      <c r="A73" s="178" t="n"/>
      <c r="B73" s="178" t="n"/>
      <c r="C73" s="178" t="n"/>
      <c r="D73" s="95" t="n"/>
      <c r="E73" s="95" t="n"/>
      <c r="F73" s="96" t="n"/>
    </row>
    <row r="74" ht="15" customHeight="1" s="91">
      <c r="A74" s="177" t="n"/>
      <c r="B74" s="177" t="n"/>
      <c r="C74" s="177" t="n"/>
      <c r="D74" s="95" t="n"/>
      <c r="E74" s="95" t="n"/>
      <c r="F74" s="96" t="n"/>
    </row>
    <row r="75" ht="15" customHeight="1" s="91">
      <c r="A75" s="178" t="n"/>
      <c r="B75" s="178" t="n"/>
      <c r="C75" s="178" t="n"/>
      <c r="D75" s="95" t="n"/>
      <c r="E75" s="95" t="n"/>
      <c r="F75" s="96" t="n"/>
    </row>
    <row r="76" ht="15" customHeight="1" s="91">
      <c r="A76" s="177" t="n"/>
      <c r="B76" s="177" t="n"/>
      <c r="C76" s="177" t="n"/>
      <c r="D76" s="95" t="n"/>
      <c r="E76" s="95" t="n"/>
      <c r="F76" s="96" t="n"/>
    </row>
    <row r="77" ht="15" customHeight="1" s="91">
      <c r="A77" s="178" t="n"/>
      <c r="B77" s="178" t="n"/>
      <c r="C77" s="178" t="n"/>
      <c r="D77" s="95" t="n"/>
      <c r="E77" s="95" t="n"/>
      <c r="F77" s="96" t="n"/>
    </row>
    <row r="78" ht="15" customHeight="1" s="91">
      <c r="A78" s="177" t="n"/>
      <c r="B78" s="177" t="n"/>
      <c r="C78" s="177" t="n"/>
      <c r="D78" s="95" t="n"/>
      <c r="E78" s="95" t="n"/>
      <c r="F78" s="96" t="n"/>
    </row>
    <row r="79" ht="15" customHeight="1" s="91">
      <c r="A79" s="178" t="n"/>
      <c r="B79" s="178" t="n"/>
      <c r="C79" s="178" t="n"/>
      <c r="D79" s="95" t="n"/>
      <c r="E79" s="95" t="n"/>
      <c r="F79" s="96" t="n"/>
    </row>
  </sheetData>
  <mergeCells count="78">
    <mergeCell ref="C52:F52"/>
    <mergeCell ref="C61:F61"/>
    <mergeCell ref="C39:F39"/>
    <mergeCell ref="C72:F72"/>
    <mergeCell ref="C32:F32"/>
    <mergeCell ref="C37:F37"/>
    <mergeCell ref="C13:F13"/>
    <mergeCell ref="C78:F78"/>
    <mergeCell ref="C6:F6"/>
    <mergeCell ref="C62:F62"/>
    <mergeCell ref="C15:F15"/>
    <mergeCell ref="C24:F24"/>
    <mergeCell ref="C64:F64"/>
    <mergeCell ref="C79:F79"/>
    <mergeCell ref="C73:F73"/>
    <mergeCell ref="C26:F26"/>
    <mergeCell ref="C54:F54"/>
    <mergeCell ref="C63:F63"/>
    <mergeCell ref="C10:F10"/>
    <mergeCell ref="C41:F41"/>
    <mergeCell ref="C50:F50"/>
    <mergeCell ref="C56:F56"/>
    <mergeCell ref="C43:F43"/>
    <mergeCell ref="C27:F27"/>
    <mergeCell ref="C36:F36"/>
    <mergeCell ref="C17:F17"/>
    <mergeCell ref="C67:F67"/>
    <mergeCell ref="C19:F19"/>
    <mergeCell ref="C28:F28"/>
    <mergeCell ref="C3:F3"/>
    <mergeCell ref="C69:F69"/>
    <mergeCell ref="C30:F30"/>
    <mergeCell ref="C5:F5"/>
    <mergeCell ref="C14:F14"/>
    <mergeCell ref="C4:F4"/>
    <mergeCell ref="C40:F40"/>
    <mergeCell ref="C71:F71"/>
    <mergeCell ref="C76:F76"/>
    <mergeCell ref="C8:F8"/>
    <mergeCell ref="C57:F57"/>
    <mergeCell ref="C66:F66"/>
    <mergeCell ref="C18:F18"/>
    <mergeCell ref="C53:F53"/>
    <mergeCell ref="C77:F77"/>
    <mergeCell ref="C34:F34"/>
    <mergeCell ref="C68:F68"/>
    <mergeCell ref="C58:F58"/>
    <mergeCell ref="C45:F45"/>
    <mergeCell ref="C20:F20"/>
    <mergeCell ref="C29:F29"/>
    <mergeCell ref="C65:F65"/>
    <mergeCell ref="C47:F47"/>
    <mergeCell ref="C44:F44"/>
    <mergeCell ref="C22:F22"/>
    <mergeCell ref="C31:F31"/>
    <mergeCell ref="A1:F1"/>
    <mergeCell ref="C12:F12"/>
    <mergeCell ref="C46:F46"/>
    <mergeCell ref="C21:F21"/>
    <mergeCell ref="C51:F51"/>
    <mergeCell ref="C60:F60"/>
    <mergeCell ref="C70:F70"/>
    <mergeCell ref="C48:F48"/>
    <mergeCell ref="C23:F23"/>
    <mergeCell ref="C7:F7"/>
    <mergeCell ref="C38:F38"/>
    <mergeCell ref="C49:F49"/>
    <mergeCell ref="C33:F33"/>
    <mergeCell ref="C42:F42"/>
    <mergeCell ref="C74:F74"/>
    <mergeCell ref="C35:F35"/>
    <mergeCell ref="C16:F16"/>
    <mergeCell ref="C25:F25"/>
    <mergeCell ref="C55:F55"/>
    <mergeCell ref="C9:F9"/>
    <mergeCell ref="C75:F75"/>
    <mergeCell ref="C59:F59"/>
    <mergeCell ref="C11:F11"/>
  </mergeCells>
  <printOptions horizontalCentered="0" verticalCentered="0" headings="0" gridLines="0" gridLinesSet="1"/>
  <pageMargins left="0.75" right="0.75" top="1" bottom="1" header="0.511811023622047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Q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90" min="1" max="1"/>
    <col width="8" customWidth="1" style="90" min="2" max="2"/>
    <col width="12" customWidth="1" style="90" min="3" max="3"/>
    <col width="28" customWidth="1" style="90" min="4" max="5"/>
    <col width="22" customWidth="1" style="90" min="6" max="6"/>
    <col width="10" customWidth="1" style="90" min="7" max="7"/>
    <col width="12" customWidth="1" style="90" min="8" max="8"/>
    <col width="10" customWidth="1" style="90" min="9" max="9"/>
    <col width="8" customWidth="1" style="90" min="10" max="10"/>
    <col width="28" customWidth="1" style="90" min="11" max="11"/>
    <col width="10" customWidth="1" style="90" min="12" max="12"/>
    <col width="12" customWidth="1" style="90" min="13" max="13"/>
    <col width="10" customWidth="1" style="90" min="14" max="14"/>
    <col width="12" customWidth="1" style="90" min="15" max="15"/>
    <col width="10" customWidth="1" style="90" min="16" max="16"/>
    <col width="14" customWidth="1" style="90" min="17" max="17"/>
  </cols>
  <sheetData>
    <row r="1" ht="17.35" customHeight="1" s="91">
      <c r="A1" s="179" t="inlineStr">
        <is>
          <t>THE FLYER  •  AFTER DARK LONG SHOTS  •  NOT IN THE PUBLISHED RECORD</t>
        </is>
      </c>
    </row>
    <row r="2" ht="15" customHeight="1" s="91">
      <c r="A2" s="180" t="inlineStr">
        <is>
          <t>Optional long-shot log. Keep it off your published W-L if you want the same rule as FRD.</t>
        </is>
      </c>
    </row>
    <row r="3" ht="15" customHeight="1" s="91">
      <c r="A3" s="90" t="inlineStr">
        <is>
          <t>Same columns as Bets. Source is always After Dark.</t>
        </is>
      </c>
    </row>
    <row r="7" ht="15" customHeight="1" s="91">
      <c r="A7" s="181" t="inlineStr">
        <is>
          <t>ID</t>
        </is>
      </c>
      <c r="B7" s="181" t="inlineStr">
        <is>
          <t>Week</t>
        </is>
      </c>
      <c r="C7" s="181" t="inlineStr">
        <is>
          <t>Date</t>
        </is>
      </c>
      <c r="D7" s="181" t="inlineStr">
        <is>
          <t>Game</t>
        </is>
      </c>
      <c r="E7" s="181" t="inlineStr">
        <is>
          <t>Play</t>
        </is>
      </c>
      <c r="F7" s="181" t="inlineStr">
        <is>
          <t>Nickname</t>
        </is>
      </c>
      <c r="G7" s="181" t="inlineStr">
        <is>
          <t>Odds</t>
        </is>
      </c>
      <c r="H7" s="181" t="inlineStr">
        <is>
          <t>Book</t>
        </is>
      </c>
      <c r="I7" s="181" t="inlineStr">
        <is>
          <t>Stake $</t>
        </is>
      </c>
      <c r="J7" s="181" t="inlineStr">
        <is>
          <t>Units</t>
        </is>
      </c>
      <c r="K7" s="181" t="inlineStr">
        <is>
          <t>Result Score</t>
        </is>
      </c>
      <c r="L7" s="181" t="inlineStr">
        <is>
          <t>Status</t>
        </is>
      </c>
      <c r="M7" s="181" t="inlineStr">
        <is>
          <t>Payout $</t>
        </is>
      </c>
      <c r="N7" s="181" t="inlineStr">
        <is>
          <t>Units Won</t>
        </is>
      </c>
      <c r="O7" s="181" t="inlineStr">
        <is>
          <t>Profit $</t>
        </is>
      </c>
      <c r="P7" s="181" t="inlineStr">
        <is>
          <t>League</t>
        </is>
      </c>
      <c r="Q7" s="181" t="inlineStr">
        <is>
          <t>Source</t>
        </is>
      </c>
    </row>
    <row r="8" ht="15" customHeight="1" s="91">
      <c r="A8" s="90">
        <f>IF(C8="","",ROW()-7)</f>
        <v/>
      </c>
      <c r="B8" s="90" t="n"/>
      <c r="C8" s="90" t="n"/>
      <c r="D8" s="90" t="n"/>
      <c r="E8" s="90" t="n"/>
      <c r="F8" s="90" t="n"/>
      <c r="G8" s="90" t="n"/>
      <c r="H8" s="90" t="n"/>
      <c r="I8" s="90" t="n"/>
      <c r="J8" s="90" t="n"/>
      <c r="L8" s="90" t="n"/>
      <c r="M8" s="90">
        <f>IF(OR(L8="",L8="PENDING"),"",IF(L8="P",I8,IF(L8="L",0,IF(G8&lt;0,I8+I8*100/ABS(G8),I8+I8*G8/100))))</f>
        <v/>
      </c>
      <c r="N8" s="90">
        <f>IF(OR(L8="",L8="PENDING"),"",IF(L8="P",0,IF(L8="L",-J8,IF(G8&lt;0,J8*100/ABS(G8),J8*G8/100))))</f>
        <v/>
      </c>
      <c r="O8" s="90">
        <f>IF(OR(L8="",L8="PENDING"),"",IF(L8="P",0,M8-I8))</f>
        <v/>
      </c>
      <c r="P8" s="90" t="n"/>
      <c r="Q8" s="90" t="n"/>
    </row>
    <row r="9" ht="15" customHeight="1" s="91">
      <c r="A9" s="90">
        <f>IF(C9="","",ROW()-7)</f>
        <v/>
      </c>
      <c r="M9" s="90">
        <f>IF(OR(L9="",L9="PENDING"),"",IF(L9="P",I9,IF(L9="L",0,IF(G9&lt;0,I9+I9*100/ABS(G9),I9+I9*G9/100))))</f>
        <v/>
      </c>
      <c r="N9" s="90">
        <f>IF(OR(L9="",L9="PENDING"),"",IF(L9="P",0,IF(L9="L",-J9,IF(G9&lt;0,J9*100/ABS(G9),J9*G9/100))))</f>
        <v/>
      </c>
      <c r="O9" s="90">
        <f>IF(OR(L9="",L9="PENDING"),"",IF(L9="P",0,M9-I9))</f>
        <v/>
      </c>
    </row>
    <row r="10" ht="15" customHeight="1" s="91">
      <c r="A10" s="90">
        <f>IF(C10="","",ROW()-7)</f>
        <v/>
      </c>
      <c r="M10" s="90">
        <f>IF(OR(L10="",L10="PENDING"),"",IF(L10="P",I10,IF(L10="L",0,IF(G10&lt;0,I10+I10*100/ABS(G10),I10+I10*G10/100))))</f>
        <v/>
      </c>
      <c r="N10" s="90">
        <f>IF(OR(L10="",L10="PENDING"),"",IF(L10="P",0,IF(L10="L",-J10,IF(G10&lt;0,J10*100/ABS(G10),J10*G10/100))))</f>
        <v/>
      </c>
      <c r="O10" s="90">
        <f>IF(OR(L10="",L10="PENDING"),"",IF(L10="P",0,M10-I10))</f>
        <v/>
      </c>
    </row>
    <row r="11" ht="15" customHeight="1" s="91">
      <c r="A11" s="90">
        <f>IF(C11="","",ROW()-7)</f>
        <v/>
      </c>
      <c r="M11" s="90">
        <f>IF(OR(L11="",L11="PENDING"),"",IF(L11="P",I11,IF(L11="L",0,IF(G11&lt;0,I11+I11*100/ABS(G11),I11+I11*G11/100))))</f>
        <v/>
      </c>
      <c r="N11" s="90">
        <f>IF(OR(L11="",L11="PENDING"),"",IF(L11="P",0,IF(L11="L",-J11,IF(G11&lt;0,J11*100/ABS(G11),J11*G11/100))))</f>
        <v/>
      </c>
      <c r="O11" s="90">
        <f>IF(OR(L11="",L11="PENDING"),"",IF(L11="P",0,M11-I11))</f>
        <v/>
      </c>
    </row>
    <row r="12" ht="15" customHeight="1" s="91">
      <c r="A12" s="90">
        <f>IF(C12="","",ROW()-7)</f>
        <v/>
      </c>
      <c r="M12" s="90">
        <f>IF(OR(L12="",L12="PENDING"),"",IF(L12="P",I12,IF(L12="L",0,IF(G12&lt;0,I12+I12*100/ABS(G12),I12+I12*G12/100))))</f>
        <v/>
      </c>
      <c r="N12" s="90">
        <f>IF(OR(L12="",L12="PENDING"),"",IF(L12="P",0,IF(L12="L",-J12,IF(G12&lt;0,J12*100/ABS(G12),J12*G12/100))))</f>
        <v/>
      </c>
      <c r="O12" s="90">
        <f>IF(OR(L12="",L12="PENDING"),"",IF(L12="P",0,M12-I12))</f>
        <v/>
      </c>
    </row>
    <row r="13" ht="15" customHeight="1" s="91">
      <c r="A13" s="90">
        <f>IF(C13="","",ROW()-7)</f>
        <v/>
      </c>
      <c r="M13" s="90">
        <f>IF(OR(L13="",L13="PENDING"),"",IF(L13="P",I13,IF(L13="L",0,IF(G13&lt;0,I13+I13*100/ABS(G13),I13+I13*G13/100))))</f>
        <v/>
      </c>
      <c r="N13" s="90">
        <f>IF(OR(L13="",L13="PENDING"),"",IF(L13="P",0,IF(L13="L",-J13,IF(G13&lt;0,J13*100/ABS(G13),J13*G13/100))))</f>
        <v/>
      </c>
      <c r="O13" s="90">
        <f>IF(OR(L13="",L13="PENDING"),"",IF(L13="P",0,M13-I13))</f>
        <v/>
      </c>
    </row>
    <row r="14" ht="15" customHeight="1" s="91">
      <c r="A14" s="90">
        <f>IF(C14="","",ROW()-7)</f>
        <v/>
      </c>
      <c r="M14" s="90">
        <f>IF(OR(L14="",L14="PENDING"),"",IF(L14="P",I14,IF(L14="L",0,IF(G14&lt;0,I14+I14*100/ABS(G14),I14+I14*G14/100))))</f>
        <v/>
      </c>
      <c r="N14" s="90">
        <f>IF(OR(L14="",L14="PENDING"),"",IF(L14="P",0,IF(L14="L",-J14,IF(G14&lt;0,J14*100/ABS(G14),J14*G14/100))))</f>
        <v/>
      </c>
      <c r="O14" s="90">
        <f>IF(OR(L14="",L14="PENDING"),"",IF(L14="P",0,M14-I14))</f>
        <v/>
      </c>
    </row>
    <row r="15" ht="15" customHeight="1" s="91">
      <c r="A15" s="90">
        <f>IF(C15="","",ROW()-7)</f>
        <v/>
      </c>
      <c r="M15" s="90">
        <f>IF(OR(L15="",L15="PENDING"),"",IF(L15="P",I15,IF(L15="L",0,IF(G15&lt;0,I15+I15*100/ABS(G15),I15+I15*G15/100))))</f>
        <v/>
      </c>
      <c r="N15" s="90">
        <f>IF(OR(L15="",L15="PENDING"),"",IF(L15="P",0,IF(L15="L",-J15,IF(G15&lt;0,J15*100/ABS(G15),J15*G15/100))))</f>
        <v/>
      </c>
      <c r="O15" s="90">
        <f>IF(OR(L15="",L15="PENDING"),"",IF(L15="P",0,M15-I15))</f>
        <v/>
      </c>
    </row>
    <row r="16" ht="15" customHeight="1" s="91">
      <c r="A16" s="90">
        <f>IF(C16="","",ROW()-7)</f>
        <v/>
      </c>
      <c r="M16" s="90">
        <f>IF(OR(L16="",L16="PENDING"),"",IF(L16="P",I16,IF(L16="L",0,IF(G16&lt;0,I16+I16*100/ABS(G16),I16+I16*G16/100))))</f>
        <v/>
      </c>
      <c r="N16" s="90">
        <f>IF(OR(L16="",L16="PENDING"),"",IF(L16="P",0,IF(L16="L",-J16,IF(G16&lt;0,J16*100/ABS(G16),J16*G16/100))))</f>
        <v/>
      </c>
      <c r="O16" s="90">
        <f>IF(OR(L16="",L16="PENDING"),"",IF(L16="P",0,M16-I16))</f>
        <v/>
      </c>
    </row>
    <row r="17" ht="15" customHeight="1" s="91">
      <c r="A17" s="90">
        <f>IF(C17="","",ROW()-7)</f>
        <v/>
      </c>
      <c r="M17" s="90">
        <f>IF(OR(L17="",L17="PENDING"),"",IF(L17="P",I17,IF(L17="L",0,IF(G17&lt;0,I17+I17*100/ABS(G17),I17+I17*G17/100))))</f>
        <v/>
      </c>
      <c r="N17" s="90">
        <f>IF(OR(L17="",L17="PENDING"),"",IF(L17="P",0,IF(L17="L",-J17,IF(G17&lt;0,J17*100/ABS(G17),J17*G17/100))))</f>
        <v/>
      </c>
      <c r="O17" s="90">
        <f>IF(OR(L17="",L17="PENDING"),"",IF(L17="P",0,M17-I17))</f>
        <v/>
      </c>
    </row>
    <row r="18" ht="15" customHeight="1" s="91">
      <c r="A18" s="90">
        <f>IF(C18="","",ROW()-7)</f>
        <v/>
      </c>
      <c r="M18" s="90">
        <f>IF(OR(L18="",L18="PENDING"),"",IF(L18="P",I18,IF(L18="L",0,IF(G18&lt;0,I18+I18*100/ABS(G18),I18+I18*G18/100))))</f>
        <v/>
      </c>
      <c r="N18" s="90">
        <f>IF(OR(L18="",L18="PENDING"),"",IF(L18="P",0,IF(L18="L",-J18,IF(G18&lt;0,J18*100/ABS(G18),J18*G18/100))))</f>
        <v/>
      </c>
      <c r="O18" s="90">
        <f>IF(OR(L18="",L18="PENDING"),"",IF(L18="P",0,M18-I18))</f>
        <v/>
      </c>
    </row>
    <row r="19" ht="15" customHeight="1" s="91">
      <c r="A19" s="90">
        <f>IF(C19="","",ROW()-7)</f>
        <v/>
      </c>
      <c r="M19" s="90">
        <f>IF(OR(L19="",L19="PENDING"),"",IF(L19="P",I19,IF(L19="L",0,IF(G19&lt;0,I19+I19*100/ABS(G19),I19+I19*G19/100))))</f>
        <v/>
      </c>
      <c r="N19" s="90">
        <f>IF(OR(L19="",L19="PENDING"),"",IF(L19="P",0,IF(L19="L",-J19,IF(G19&lt;0,J19*100/ABS(G19),J19*G19/100))))</f>
        <v/>
      </c>
      <c r="O19" s="90">
        <f>IF(OR(L19="",L19="PENDING"),"",IF(L19="P",0,M19-I19))</f>
        <v/>
      </c>
    </row>
    <row r="20" ht="15" customHeight="1" s="91">
      <c r="A20" s="90">
        <f>IF(C20="","",ROW()-7)</f>
        <v/>
      </c>
      <c r="M20" s="90">
        <f>IF(OR(L20="",L20="PENDING"),"",IF(L20="P",I20,IF(L20="L",0,IF(G20&lt;0,I20+I20*100/ABS(G20),I20+I20*G20/100))))</f>
        <v/>
      </c>
      <c r="N20" s="90">
        <f>IF(OR(L20="",L20="PENDING"),"",IF(L20="P",0,IF(L20="L",-J20,IF(G20&lt;0,J20*100/ABS(G20),J20*G20/100))))</f>
        <v/>
      </c>
      <c r="O20" s="90">
        <f>IF(OR(L20="",L20="PENDING"),"",IF(L20="P",0,M20-I20))</f>
        <v/>
      </c>
    </row>
    <row r="21" ht="15" customHeight="1" s="91">
      <c r="A21" s="90">
        <f>IF(C21="","",ROW()-7)</f>
        <v/>
      </c>
      <c r="M21" s="90">
        <f>IF(OR(L21="",L21="PENDING"),"",IF(L21="P",I21,IF(L21="L",0,IF(G21&lt;0,I21+I21*100/ABS(G21),I21+I21*G21/100))))</f>
        <v/>
      </c>
      <c r="N21" s="90">
        <f>IF(OR(L21="",L21="PENDING"),"",IF(L21="P",0,IF(L21="L",-J21,IF(G21&lt;0,J21*100/ABS(G21),J21*G21/100))))</f>
        <v/>
      </c>
      <c r="O21" s="90">
        <f>IF(OR(L21="",L21="PENDING"),"",IF(L21="P",0,M21-I21))</f>
        <v/>
      </c>
    </row>
    <row r="22" ht="15" customHeight="1" s="91">
      <c r="A22" s="90">
        <f>IF(C22="","",ROW()-7)</f>
        <v/>
      </c>
      <c r="M22" s="90">
        <f>IF(OR(L22="",L22="PENDING"),"",IF(L22="P",I22,IF(L22="L",0,IF(G22&lt;0,I22+I22*100/ABS(G22),I22+I22*G22/100))))</f>
        <v/>
      </c>
      <c r="N22" s="90">
        <f>IF(OR(L22="",L22="PENDING"),"",IF(L22="P",0,IF(L22="L",-J22,IF(G22&lt;0,J22*100/ABS(G22),J22*G22/100))))</f>
        <v/>
      </c>
      <c r="O22" s="90">
        <f>IF(OR(L22="",L22="PENDING"),"",IF(L22="P",0,M22-I22))</f>
        <v/>
      </c>
    </row>
    <row r="23" ht="15" customHeight="1" s="91">
      <c r="A23" s="90">
        <f>IF(C23="","",ROW()-7)</f>
        <v/>
      </c>
      <c r="M23" s="90">
        <f>IF(OR(L23="",L23="PENDING"),"",IF(L23="P",I23,IF(L23="L",0,IF(G23&lt;0,I23+I23*100/ABS(G23),I23+I23*G23/100))))</f>
        <v/>
      </c>
      <c r="N23" s="90">
        <f>IF(OR(L23="",L23="PENDING"),"",IF(L23="P",0,IF(L23="L",-J23,IF(G23&lt;0,J23*100/ABS(G23),J23*G23/100))))</f>
        <v/>
      </c>
      <c r="O23" s="90">
        <f>IF(OR(L23="",L23="PENDING"),"",IF(L23="P",0,M23-I23))</f>
        <v/>
      </c>
    </row>
    <row r="24" ht="15" customHeight="1" s="91">
      <c r="A24" s="90">
        <f>IF(C24="","",ROW()-7)</f>
        <v/>
      </c>
      <c r="M24" s="90">
        <f>IF(OR(L24="",L24="PENDING"),"",IF(L24="P",I24,IF(L24="L",0,IF(G24&lt;0,I24+I24*100/ABS(G24),I24+I24*G24/100))))</f>
        <v/>
      </c>
      <c r="N24" s="90">
        <f>IF(OR(L24="",L24="PENDING"),"",IF(L24="P",0,IF(L24="L",-J24,IF(G24&lt;0,J24*100/ABS(G24),J24*G24/100))))</f>
        <v/>
      </c>
      <c r="O24" s="90">
        <f>IF(OR(L24="",L24="PENDING"),"",IF(L24="P",0,M24-I24))</f>
        <v/>
      </c>
    </row>
    <row r="25" ht="15" customHeight="1" s="91">
      <c r="A25" s="90">
        <f>IF(C25="","",ROW()-7)</f>
        <v/>
      </c>
      <c r="M25" s="90">
        <f>IF(OR(L25="",L25="PENDING"),"",IF(L25="P",I25,IF(L25="L",0,IF(G25&lt;0,I25+I25*100/ABS(G25),I25+I25*G25/100))))</f>
        <v/>
      </c>
      <c r="N25" s="90">
        <f>IF(OR(L25="",L25="PENDING"),"",IF(L25="P",0,IF(L25="L",-J25,IF(G25&lt;0,J25*100/ABS(G25),J25*G25/100))))</f>
        <v/>
      </c>
      <c r="O25" s="90">
        <f>IF(OR(L25="",L25="PENDING"),"",IF(L25="P",0,M25-I25))</f>
        <v/>
      </c>
    </row>
    <row r="26" ht="15" customHeight="1" s="91">
      <c r="A26" s="90">
        <f>IF(C26="","",ROW()-7)</f>
        <v/>
      </c>
      <c r="M26" s="90">
        <f>IF(OR(L26="",L26="PENDING"),"",IF(L26="P",I26,IF(L26="L",0,IF(G26&lt;0,I26+I26*100/ABS(G26),I26+I26*G26/100))))</f>
        <v/>
      </c>
      <c r="N26" s="90">
        <f>IF(OR(L26="",L26="PENDING"),"",IF(L26="P",0,IF(L26="L",-J26,IF(G26&lt;0,J26*100/ABS(G26),J26*G26/100))))</f>
        <v/>
      </c>
      <c r="O26" s="90">
        <f>IF(OR(L26="",L26="PENDING"),"",IF(L26="P",0,M26-I26))</f>
        <v/>
      </c>
    </row>
    <row r="27" ht="15" customHeight="1" s="91">
      <c r="A27" s="90">
        <f>IF(C27="","",ROW()-7)</f>
        <v/>
      </c>
      <c r="M27" s="90">
        <f>IF(OR(L27="",L27="PENDING"),"",IF(L27="P",I27,IF(L27="L",0,IF(G27&lt;0,I27+I27*100/ABS(G27),I27+I27*G27/100))))</f>
        <v/>
      </c>
      <c r="N27" s="90">
        <f>IF(OR(L27="",L27="PENDING"),"",IF(L27="P",0,IF(L27="L",-J27,IF(G27&lt;0,J27*100/ABS(G27),J27*G27/100))))</f>
        <v/>
      </c>
      <c r="O27" s="90">
        <f>IF(OR(L27="",L27="PENDING"),"",IF(L27="P",0,M27-I27))</f>
        <v/>
      </c>
    </row>
    <row r="28" ht="15" customHeight="1" s="91">
      <c r="A28" s="90">
        <f>IF(C28="","",ROW()-7)</f>
        <v/>
      </c>
      <c r="M28" s="90">
        <f>IF(OR(L28="",L28="PENDING"),"",IF(L28="P",I28,IF(L28="L",0,IF(G28&lt;0,I28+I28*100/ABS(G28),I28+I28*G28/100))))</f>
        <v/>
      </c>
      <c r="N28" s="90">
        <f>IF(OR(L28="",L28="PENDING"),"",IF(L28="P",0,IF(L28="L",-J28,IF(G28&lt;0,J28*100/ABS(G28),J28*G28/100))))</f>
        <v/>
      </c>
      <c r="O28" s="90">
        <f>IF(OR(L28="",L28="PENDING"),"",IF(L28="P",0,M28-I28))</f>
        <v/>
      </c>
    </row>
    <row r="29" ht="15" customHeight="1" s="91">
      <c r="A29" s="90">
        <f>IF(C29="","",ROW()-7)</f>
        <v/>
      </c>
      <c r="M29" s="90">
        <f>IF(OR(L29="",L29="PENDING"),"",IF(L29="P",I29,IF(L29="L",0,IF(G29&lt;0,I29+I29*100/ABS(G29),I29+I29*G29/100))))</f>
        <v/>
      </c>
      <c r="N29" s="90">
        <f>IF(OR(L29="",L29="PENDING"),"",IF(L29="P",0,IF(L29="L",-J29,IF(G29&lt;0,J29*100/ABS(G29),J29*G29/100))))</f>
        <v/>
      </c>
      <c r="O29" s="90">
        <f>IF(OR(L29="",L29="PENDING"),"",IF(L29="P",0,M29-I29))</f>
        <v/>
      </c>
    </row>
    <row r="30" ht="15" customHeight="1" s="91">
      <c r="A30" s="90">
        <f>IF(C30="","",ROW()-7)</f>
        <v/>
      </c>
      <c r="M30" s="90">
        <f>IF(OR(L30="",L30="PENDING"),"",IF(L30="P",I30,IF(L30="L",0,IF(G30&lt;0,I30+I30*100/ABS(G30),I30+I30*G30/100))))</f>
        <v/>
      </c>
      <c r="N30" s="90">
        <f>IF(OR(L30="",L30="PENDING"),"",IF(L30="P",0,IF(L30="L",-J30,IF(G30&lt;0,J30*100/ABS(G30),J30*G30/100))))</f>
        <v/>
      </c>
      <c r="O30" s="90">
        <f>IF(OR(L30="",L30="PENDING"),"",IF(L30="P",0,M30-I30))</f>
        <v/>
      </c>
    </row>
    <row r="31" ht="15" customHeight="1" s="91">
      <c r="A31" s="90">
        <f>IF(C31="","",ROW()-7)</f>
        <v/>
      </c>
      <c r="M31" s="90">
        <f>IF(OR(L31="",L31="PENDING"),"",IF(L31="P",I31,IF(L31="L",0,IF(G31&lt;0,I31+I31*100/ABS(G31),I31+I31*G31/100))))</f>
        <v/>
      </c>
      <c r="N31" s="90">
        <f>IF(OR(L31="",L31="PENDING"),"",IF(L31="P",0,IF(L31="L",-J31,IF(G31&lt;0,J31*100/ABS(G31),J31*G31/100))))</f>
        <v/>
      </c>
      <c r="O31" s="90">
        <f>IF(OR(L31="",L31="PENDING"),"",IF(L31="P",0,M31-I31))</f>
        <v/>
      </c>
    </row>
    <row r="32" ht="15" customHeight="1" s="91">
      <c r="A32" s="90">
        <f>IF(C32="","",ROW()-7)</f>
        <v/>
      </c>
      <c r="M32" s="90">
        <f>IF(OR(L32="",L32="PENDING"),"",IF(L32="P",I32,IF(L32="L",0,IF(G32&lt;0,I32+I32*100/ABS(G32),I32+I32*G32/100))))</f>
        <v/>
      </c>
      <c r="N32" s="90">
        <f>IF(OR(L32="",L32="PENDING"),"",IF(L32="P",0,IF(L32="L",-J32,IF(G32&lt;0,J32*100/ABS(G32),J32*G32/100))))</f>
        <v/>
      </c>
      <c r="O32" s="90">
        <f>IF(OR(L32="",L32="PENDING"),"",IF(L32="P",0,M32-I32))</f>
        <v/>
      </c>
    </row>
    <row r="33" ht="15" customHeight="1" s="91">
      <c r="A33" s="90">
        <f>IF(C33="","",ROW()-7)</f>
        <v/>
      </c>
      <c r="M33" s="90">
        <f>IF(OR(L33="",L33="PENDING"),"",IF(L33="P",I33,IF(L33="L",0,IF(G33&lt;0,I33+I33*100/ABS(G33),I33+I33*G33/100))))</f>
        <v/>
      </c>
      <c r="N33" s="90">
        <f>IF(OR(L33="",L33="PENDING"),"",IF(L33="P",0,IF(L33="L",-J33,IF(G33&lt;0,J33*100/ABS(G33),J33*G33/100))))</f>
        <v/>
      </c>
      <c r="O33" s="90">
        <f>IF(OR(L33="",L33="PENDING"),"",IF(L33="P",0,M33-I33))</f>
        <v/>
      </c>
    </row>
    <row r="34" ht="15" customHeight="1" s="91">
      <c r="A34" s="90">
        <f>IF(C34="","",ROW()-7)</f>
        <v/>
      </c>
      <c r="M34" s="90">
        <f>IF(OR(L34="",L34="PENDING"),"",IF(L34="P",I34,IF(L34="L",0,IF(G34&lt;0,I34+I34*100/ABS(G34),I34+I34*G34/100))))</f>
        <v/>
      </c>
      <c r="N34" s="90">
        <f>IF(OR(L34="",L34="PENDING"),"",IF(L34="P",0,IF(L34="L",-J34,IF(G34&lt;0,J34*100/ABS(G34),J34*G34/100))))</f>
        <v/>
      </c>
      <c r="O34" s="90">
        <f>IF(OR(L34="",L34="PENDING"),"",IF(L34="P",0,M34-I34))</f>
        <v/>
      </c>
    </row>
    <row r="35" ht="15" customHeight="1" s="91">
      <c r="A35" s="90">
        <f>IF(C35="","",ROW()-7)</f>
        <v/>
      </c>
      <c r="M35" s="90">
        <f>IF(OR(L35="",L35="PENDING"),"",IF(L35="P",I35,IF(L35="L",0,IF(G35&lt;0,I35+I35*100/ABS(G35),I35+I35*G35/100))))</f>
        <v/>
      </c>
      <c r="N35" s="90">
        <f>IF(OR(L35="",L35="PENDING"),"",IF(L35="P",0,IF(L35="L",-J35,IF(G35&lt;0,J35*100/ABS(G35),J35*G35/100))))</f>
        <v/>
      </c>
      <c r="O35" s="90">
        <f>IF(OR(L35="",L35="PENDING"),"",IF(L35="P",0,M35-I35))</f>
        <v/>
      </c>
    </row>
    <row r="36" ht="15" customHeight="1" s="91">
      <c r="A36" s="90">
        <f>IF(C36="","",ROW()-7)</f>
        <v/>
      </c>
      <c r="M36" s="90">
        <f>IF(OR(L36="",L36="PENDING"),"",IF(L36="P",I36,IF(L36="L",0,IF(G36&lt;0,I36+I36*100/ABS(G36),I36+I36*G36/100))))</f>
        <v/>
      </c>
      <c r="N36" s="90">
        <f>IF(OR(L36="",L36="PENDING"),"",IF(L36="P",0,IF(L36="L",-J36,IF(G36&lt;0,J36*100/ABS(G36),J36*G36/100))))</f>
        <v/>
      </c>
      <c r="O36" s="90">
        <f>IF(OR(L36="",L36="PENDING"),"",IF(L36="P",0,M36-I36))</f>
        <v/>
      </c>
    </row>
    <row r="37" ht="15" customHeight="1" s="91">
      <c r="A37" s="90">
        <f>IF(C37="","",ROW()-7)</f>
        <v/>
      </c>
      <c r="M37" s="90">
        <f>IF(OR(L37="",L37="PENDING"),"",IF(L37="P",I37,IF(L37="L",0,IF(G37&lt;0,I37+I37*100/ABS(G37),I37+I37*G37/100))))</f>
        <v/>
      </c>
      <c r="N37" s="90">
        <f>IF(OR(L37="",L37="PENDING"),"",IF(L37="P",0,IF(L37="L",-J37,IF(G37&lt;0,J37*100/ABS(G37),J37*G37/100))))</f>
        <v/>
      </c>
      <c r="O37" s="90">
        <f>IF(OR(L37="",L37="PENDING"),"",IF(L37="P",0,M37-I37))</f>
        <v/>
      </c>
    </row>
    <row r="38" ht="15" customHeight="1" s="91">
      <c r="A38" s="90">
        <f>IF(C38="","",ROW()-7)</f>
        <v/>
      </c>
      <c r="M38" s="90">
        <f>IF(OR(L38="",L38="PENDING"),"",IF(L38="P",I38,IF(L38="L",0,IF(G38&lt;0,I38+I38*100/ABS(G38),I38+I38*G38/100))))</f>
        <v/>
      </c>
      <c r="N38" s="90">
        <f>IF(OR(L38="",L38="PENDING"),"",IF(L38="P",0,IF(L38="L",-J38,IF(G38&lt;0,J38*100/ABS(G38),J38*G38/100))))</f>
        <v/>
      </c>
      <c r="O38" s="90">
        <f>IF(OR(L38="",L38="PENDING"),"",IF(L38="P",0,M38-I38))</f>
        <v/>
      </c>
    </row>
    <row r="39" ht="15" customHeight="1" s="91">
      <c r="A39" s="90">
        <f>IF(C39="","",ROW()-7)</f>
        <v/>
      </c>
      <c r="M39" s="90">
        <f>IF(OR(L39="",L39="PENDING"),"",IF(L39="P",I39,IF(L39="L",0,IF(G39&lt;0,I39+I39*100/ABS(G39),I39+I39*G39/100))))</f>
        <v/>
      </c>
      <c r="N39" s="90">
        <f>IF(OR(L39="",L39="PENDING"),"",IF(L39="P",0,IF(L39="L",-J39,IF(G39&lt;0,J39*100/ABS(G39),J39*G39/100))))</f>
        <v/>
      </c>
      <c r="O39" s="90">
        <f>IF(OR(L39="",L39="PENDING"),"",IF(L39="P",0,M39-I39))</f>
        <v/>
      </c>
    </row>
    <row r="40" ht="15" customHeight="1" s="91">
      <c r="A40" s="90">
        <f>IF(C40="","",ROW()-7)</f>
        <v/>
      </c>
      <c r="M40" s="90">
        <f>IF(OR(L40="",L40="PENDING"),"",IF(L40="P",I40,IF(L40="L",0,IF(G40&lt;0,I40+I40*100/ABS(G40),I40+I40*G40/100))))</f>
        <v/>
      </c>
      <c r="N40" s="90">
        <f>IF(OR(L40="",L40="PENDING"),"",IF(L40="P",0,IF(L40="L",-J40,IF(G40&lt;0,J40*100/ABS(G40),J40*G40/100))))</f>
        <v/>
      </c>
      <c r="O40" s="90">
        <f>IF(OR(L40="",L40="PENDING"),"",IF(L40="P",0,M40-I40))</f>
        <v/>
      </c>
    </row>
    <row r="41" ht="15" customHeight="1" s="91">
      <c r="A41" s="90">
        <f>IF(C41="","",ROW()-7)</f>
        <v/>
      </c>
      <c r="M41" s="90">
        <f>IF(OR(L41="",L41="PENDING"),"",IF(L41="P",I41,IF(L41="L",0,IF(G41&lt;0,I41+I41*100/ABS(G41),I41+I41*G41/100))))</f>
        <v/>
      </c>
      <c r="N41" s="90">
        <f>IF(OR(L41="",L41="PENDING"),"",IF(L41="P",0,IF(L41="L",-J41,IF(G41&lt;0,J41*100/ABS(G41),J41*G41/100))))</f>
        <v/>
      </c>
      <c r="O41" s="90">
        <f>IF(OR(L41="",L41="PENDING"),"",IF(L41="P",0,M41-I41))</f>
        <v/>
      </c>
    </row>
    <row r="42" ht="15" customHeight="1" s="91">
      <c r="A42" s="90">
        <f>IF(C42="","",ROW()-7)</f>
        <v/>
      </c>
      <c r="M42" s="90">
        <f>IF(OR(L42="",L42="PENDING"),"",IF(L42="P",I42,IF(L42="L",0,IF(G42&lt;0,I42+I42*100/ABS(G42),I42+I42*G42/100))))</f>
        <v/>
      </c>
      <c r="N42" s="90">
        <f>IF(OR(L42="",L42="PENDING"),"",IF(L42="P",0,IF(L42="L",-J42,IF(G42&lt;0,J42*100/ABS(G42),J42*G42/100))))</f>
        <v/>
      </c>
      <c r="O42" s="90">
        <f>IF(OR(L42="",L42="PENDING"),"",IF(L42="P",0,M42-I42))</f>
        <v/>
      </c>
    </row>
    <row r="43" ht="15" customHeight="1" s="91">
      <c r="A43" s="90">
        <f>IF(C43="","",ROW()-7)</f>
        <v/>
      </c>
      <c r="M43" s="90">
        <f>IF(OR(L43="",L43="PENDING"),"",IF(L43="P",I43,IF(L43="L",0,IF(G43&lt;0,I43+I43*100/ABS(G43),I43+I43*G43/100))))</f>
        <v/>
      </c>
      <c r="N43" s="90">
        <f>IF(OR(L43="",L43="PENDING"),"",IF(L43="P",0,IF(L43="L",-J43,IF(G43&lt;0,J43*100/ABS(G43),J43*G43/100))))</f>
        <v/>
      </c>
      <c r="O43" s="90">
        <f>IF(OR(L43="",L43="PENDING"),"",IF(L43="P",0,M43-I43))</f>
        <v/>
      </c>
    </row>
    <row r="44" ht="15" customHeight="1" s="91">
      <c r="A44" s="90">
        <f>IF(C44="","",ROW()-7)</f>
        <v/>
      </c>
      <c r="M44" s="90">
        <f>IF(OR(L44="",L44="PENDING"),"",IF(L44="P",I44,IF(L44="L",0,IF(G44&lt;0,I44+I44*100/ABS(G44),I44+I44*G44/100))))</f>
        <v/>
      </c>
      <c r="N44" s="90">
        <f>IF(OR(L44="",L44="PENDING"),"",IF(L44="P",0,IF(L44="L",-J44,IF(G44&lt;0,J44*100/ABS(G44),J44*G44/100))))</f>
        <v/>
      </c>
      <c r="O44" s="90">
        <f>IF(OR(L44="",L44="PENDING"),"",IF(L44="P",0,M44-I44))</f>
        <v/>
      </c>
    </row>
    <row r="45" ht="15" customHeight="1" s="91">
      <c r="A45" s="90">
        <f>IF(C45="","",ROW()-7)</f>
        <v/>
      </c>
      <c r="M45" s="90">
        <f>IF(OR(L45="",L45="PENDING"),"",IF(L45="P",I45,IF(L45="L",0,IF(G45&lt;0,I45+I45*100/ABS(G45),I45+I45*G45/100))))</f>
        <v/>
      </c>
      <c r="N45" s="90">
        <f>IF(OR(L45="",L45="PENDING"),"",IF(L45="P",0,IF(L45="L",-J45,IF(G45&lt;0,J45*100/ABS(G45),J45*G45/100))))</f>
        <v/>
      </c>
      <c r="O45" s="90">
        <f>IF(OR(L45="",L45="PENDING"),"",IF(L45="P",0,M45-I45))</f>
        <v/>
      </c>
    </row>
    <row r="46" ht="15" customHeight="1" s="91">
      <c r="A46" s="90">
        <f>IF(C46="","",ROW()-7)</f>
        <v/>
      </c>
      <c r="M46" s="90">
        <f>IF(OR(L46="",L46="PENDING"),"",IF(L46="P",I46,IF(L46="L",0,IF(G46&lt;0,I46+I46*100/ABS(G46),I46+I46*G46/100))))</f>
        <v/>
      </c>
      <c r="N46" s="90">
        <f>IF(OR(L46="",L46="PENDING"),"",IF(L46="P",0,IF(L46="L",-J46,IF(G46&lt;0,J46*100/ABS(G46),J46*G46/100))))</f>
        <v/>
      </c>
      <c r="O46" s="90">
        <f>IF(OR(L46="",L46="PENDING"),"",IF(L46="P",0,M46-I46))</f>
        <v/>
      </c>
    </row>
    <row r="47" ht="15" customHeight="1" s="91">
      <c r="A47" s="90">
        <f>IF(C47="","",ROW()-7)</f>
        <v/>
      </c>
      <c r="M47" s="90">
        <f>IF(OR(L47="",L47="PENDING"),"",IF(L47="P",I47,IF(L47="L",0,IF(G47&lt;0,I47+I47*100/ABS(G47),I47+I47*G47/100))))</f>
        <v/>
      </c>
      <c r="N47" s="90">
        <f>IF(OR(L47="",L47="PENDING"),"",IF(L47="P",0,IF(L47="L",-J47,IF(G47&lt;0,J47*100/ABS(G47),J47*G47/100))))</f>
        <v/>
      </c>
      <c r="O47" s="90">
        <f>IF(OR(L47="",L47="PENDING"),"",IF(L47="P",0,M47-I47))</f>
        <v/>
      </c>
    </row>
    <row r="48" ht="15" customHeight="1" s="91">
      <c r="A48" s="90">
        <f>IF(C48="","",ROW()-7)</f>
        <v/>
      </c>
      <c r="M48" s="90">
        <f>IF(OR(L48="",L48="PENDING"),"",IF(L48="P",I48,IF(L48="L",0,IF(G48&lt;0,I48+I48*100/ABS(G48),I48+I48*G48/100))))</f>
        <v/>
      </c>
      <c r="N48" s="90">
        <f>IF(OR(L48="",L48="PENDING"),"",IF(L48="P",0,IF(L48="L",-J48,IF(G48&lt;0,J48*100/ABS(G48),J48*G48/100))))</f>
        <v/>
      </c>
      <c r="O48" s="90">
        <f>IF(OR(L48="",L48="PENDING"),"",IF(L48="P",0,M48-I48))</f>
        <v/>
      </c>
    </row>
    <row r="49" ht="15" customHeight="1" s="91">
      <c r="A49" s="90">
        <f>IF(C49="","",ROW()-7)</f>
        <v/>
      </c>
      <c r="M49" s="90">
        <f>IF(OR(L49="",L49="PENDING"),"",IF(L49="P",I49,IF(L49="L",0,IF(G49&lt;0,I49+I49*100/ABS(G49),I49+I49*G49/100))))</f>
        <v/>
      </c>
      <c r="N49" s="90">
        <f>IF(OR(L49="",L49="PENDING"),"",IF(L49="P",0,IF(L49="L",-J49,IF(G49&lt;0,J49*100/ABS(G49),J49*G49/100))))</f>
        <v/>
      </c>
      <c r="O49" s="90">
        <f>IF(OR(L49="",L49="PENDING"),"",IF(L49="P",0,M49-I49))</f>
        <v/>
      </c>
    </row>
    <row r="50" ht="15" customHeight="1" s="91">
      <c r="A50" s="90">
        <f>IF(C50="","",ROW()-7)</f>
        <v/>
      </c>
      <c r="M50" s="90">
        <f>IF(OR(L50="",L50="PENDING"),"",IF(L50="P",I50,IF(L50="L",0,IF(G50&lt;0,I50+I50*100/ABS(G50),I50+I50*G50/100))))</f>
        <v/>
      </c>
      <c r="N50" s="90">
        <f>IF(OR(L50="",L50="PENDING"),"",IF(L50="P",0,IF(L50="L",-J50,IF(G50&lt;0,J50*100/ABS(G50),J50*G50/100))))</f>
        <v/>
      </c>
      <c r="O50" s="90">
        <f>IF(OR(L50="",L50="PENDING"),"",IF(L50="P",0,M50-I50))</f>
        <v/>
      </c>
    </row>
    <row r="51" ht="15" customHeight="1" s="91">
      <c r="A51" s="90">
        <f>IF(C51="","",ROW()-7)</f>
        <v/>
      </c>
      <c r="M51" s="90">
        <f>IF(OR(L51="",L51="PENDING"),"",IF(L51="P",I51,IF(L51="L",0,IF(G51&lt;0,I51+I51*100/ABS(G51),I51+I51*G51/100))))</f>
        <v/>
      </c>
      <c r="N51" s="90">
        <f>IF(OR(L51="",L51="PENDING"),"",IF(L51="P",0,IF(L51="L",-J51,IF(G51&lt;0,J51*100/ABS(G51),J51*G51/100))))</f>
        <v/>
      </c>
      <c r="O51" s="90">
        <f>IF(OR(L51="",L51="PENDING"),"",IF(L51="P",0,M51-I51))</f>
        <v/>
      </c>
    </row>
    <row r="52" ht="15" customHeight="1" s="91">
      <c r="A52" s="90">
        <f>IF(C52="","",ROW()-7)</f>
        <v/>
      </c>
      <c r="M52" s="90">
        <f>IF(OR(L52="",L52="PENDING"),"",IF(L52="P",I52,IF(L52="L",0,IF(G52&lt;0,I52+I52*100/ABS(G52),I52+I52*G52/100))))</f>
        <v/>
      </c>
      <c r="N52" s="90">
        <f>IF(OR(L52="",L52="PENDING"),"",IF(L52="P",0,IF(L52="L",-J52,IF(G52&lt;0,J52*100/ABS(G52),J52*G52/100))))</f>
        <v/>
      </c>
      <c r="O52" s="90">
        <f>IF(OR(L52="",L52="PENDING"),"",IF(L52="P",0,M52-I52))</f>
        <v/>
      </c>
    </row>
    <row r="53" ht="15" customHeight="1" s="91">
      <c r="A53" s="90">
        <f>IF(C53="","",ROW()-7)</f>
        <v/>
      </c>
      <c r="M53" s="90">
        <f>IF(OR(L53="",L53="PENDING"),"",IF(L53="P",I53,IF(L53="L",0,IF(G53&lt;0,I53+I53*100/ABS(G53),I53+I53*G53/100))))</f>
        <v/>
      </c>
      <c r="N53" s="90">
        <f>IF(OR(L53="",L53="PENDING"),"",IF(L53="P",0,IF(L53="L",-J53,IF(G53&lt;0,J53*100/ABS(G53),J53*G53/100))))</f>
        <v/>
      </c>
      <c r="O53" s="90">
        <f>IF(OR(L53="",L53="PENDING"),"",IF(L53="P",0,M53-I53))</f>
        <v/>
      </c>
    </row>
    <row r="54" ht="15" customHeight="1" s="91">
      <c r="A54" s="90">
        <f>IF(C54="","",ROW()-7)</f>
        <v/>
      </c>
      <c r="M54" s="90">
        <f>IF(OR(L54="",L54="PENDING"),"",IF(L54="P",I54,IF(L54="L",0,IF(G54&lt;0,I54+I54*100/ABS(G54),I54+I54*G54/100))))</f>
        <v/>
      </c>
      <c r="N54" s="90">
        <f>IF(OR(L54="",L54="PENDING"),"",IF(L54="P",0,IF(L54="L",-J54,IF(G54&lt;0,J54*100/ABS(G54),J54*G54/100))))</f>
        <v/>
      </c>
      <c r="O54" s="90">
        <f>IF(OR(L54="",L54="PENDING"),"",IF(L54="P",0,M54-I54))</f>
        <v/>
      </c>
    </row>
    <row r="55" ht="15" customHeight="1" s="91">
      <c r="A55" s="90">
        <f>IF(C55="","",ROW()-7)</f>
        <v/>
      </c>
      <c r="M55" s="90">
        <f>IF(OR(L55="",L55="PENDING"),"",IF(L55="P",I55,IF(L55="L",0,IF(G55&lt;0,I55+I55*100/ABS(G55),I55+I55*G55/100))))</f>
        <v/>
      </c>
      <c r="N55" s="90">
        <f>IF(OR(L55="",L55="PENDING"),"",IF(L55="P",0,IF(L55="L",-J55,IF(G55&lt;0,J55*100/ABS(G55),J55*G55/100))))</f>
        <v/>
      </c>
      <c r="O55" s="90">
        <f>IF(OR(L55="",L55="PENDING"),"",IF(L55="P",0,M55-I55))</f>
        <v/>
      </c>
    </row>
    <row r="56" ht="15" customHeight="1" s="91">
      <c r="A56" s="90">
        <f>IF(C56="","",ROW()-7)</f>
        <v/>
      </c>
      <c r="M56" s="90">
        <f>IF(OR(L56="",L56="PENDING"),"",IF(L56="P",I56,IF(L56="L",0,IF(G56&lt;0,I56+I56*100/ABS(G56),I56+I56*G56/100))))</f>
        <v/>
      </c>
      <c r="N56" s="90">
        <f>IF(OR(L56="",L56="PENDING"),"",IF(L56="P",0,IF(L56="L",-J56,IF(G56&lt;0,J56*100/ABS(G56),J56*G56/100))))</f>
        <v/>
      </c>
      <c r="O56" s="90">
        <f>IF(OR(L56="",L56="PENDING"),"",IF(L56="P",0,M56-I56))</f>
        <v/>
      </c>
    </row>
    <row r="57" ht="15" customHeight="1" s="91">
      <c r="A57" s="90">
        <f>IF(C57="","",ROW()-7)</f>
        <v/>
      </c>
      <c r="M57" s="90">
        <f>IF(OR(L57="",L57="PENDING"),"",IF(L57="P",I57,IF(L57="L",0,IF(G57&lt;0,I57+I57*100/ABS(G57),I57+I57*G57/100))))</f>
        <v/>
      </c>
      <c r="N57" s="90">
        <f>IF(OR(L57="",L57="PENDING"),"",IF(L57="P",0,IF(L57="L",-J57,IF(G57&lt;0,J57*100/ABS(G57),J57*G57/100))))</f>
        <v/>
      </c>
      <c r="O57" s="90">
        <f>IF(OR(L57="",L57="PENDING"),"",IF(L57="P",0,M57-I57))</f>
        <v/>
      </c>
    </row>
  </sheetData>
  <mergeCells count="2">
    <mergeCell ref="A2:Q2"/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2026-09-18T09:46:23Z</dcterms:created>
  <dcterms:modified xmlns:dcterms="http://purl.org/dc/terms/" xmlns:xsi="http://www.w3.org/2001/XMLSchema-instance" xsi:type="dcterms:W3CDTF">2026-09-23T13:59:20Z</dcterms:modified>
  <cp:revision>0</cp:revision>
</cp:coreProperties>
</file>